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3" xWindow="240" yWindow="60" windowWidth="14371" windowHeight="3715" tabRatio="500"/>
  </bookViews>
  <sheets>
    <sheet name="Table S1. Сoordinates" sheetId="1" r:id="rId4"/>
    <sheet name="Table S2. Primers" sheetId="2" r:id="rId5"/>
    <sheet name="Table S3. Samples information" sheetId="3" r:id="rId6"/>
    <sheet name="Table S4. Bolshie Koty" sheetId="4" r:id="rId7"/>
    <sheet name="Table S5. flavus larger sample" sheetId="5" r:id="rId8"/>
  </sheets>
  <calcPr/>
  <extLst>
    <ext uri="smNativeData">
      <pm:revision xmlns:pm="smNativeData" day="1752044485" val="1050" rev="124" rev64="64" revOS="3" revMin="124" revMax="0"/>
      <pm:docPrefs xmlns:pm="smNativeData" id="1752044485" fixedDigits="0" showNotice="1" showFrameBounds="1" autoChart="1" recalcOnPrint="1" recalcOnCopy="1" finalRounding="1" compatTextArt="1" tab="567" useDefinedPrintRange="1" printArea="currentSheet"/>
      <pm:compatibility xmlns:pm="smNativeData" id="1752044485" overlapCells="1"/>
      <pm:defCurrency xmlns:pm="smNativeData" id="1752044485"/>
      <pm:sortOptions xmlns:pm="smNativeData" id="1752044485" headings="1">
        <pm:column colId="1" sortType="descending"/>
        <pm:column colId="2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</pm:sortOptions>
    </ext>
  </extLst>
</workbook>
</file>

<file path=xl/sharedStrings.xml><?xml version="1.0" encoding="utf-8"?>
<sst xmlns="http://schemas.openxmlformats.org/spreadsheetml/2006/main" count="2067" uniqueCount="741">
  <si>
    <t>Table S1. Coordinates of sampling points (supporting information for Fig. 2)</t>
  </si>
  <si>
    <t>location</t>
  </si>
  <si>
    <t>Depth, m</t>
  </si>
  <si>
    <t>Coordinates</t>
  </si>
  <si>
    <t>Species</t>
  </si>
  <si>
    <t>Sequences of COI</t>
  </si>
  <si>
    <t>Bolshie Koty</t>
  </si>
  <si>
    <t>51.88568 N 105.07775 E</t>
  </si>
  <si>
    <t>O. flavus</t>
  </si>
  <si>
    <t>51.89055 N 105.07775 E</t>
  </si>
  <si>
    <t>51.89532 N 105.07382 E</t>
  </si>
  <si>
    <t>51.89838 N 105.07400 E</t>
  </si>
  <si>
    <t>51.90208 N 105.07395 E</t>
  </si>
  <si>
    <t>O. albinus</t>
  </si>
  <si>
    <t>Baikalsk</t>
  </si>
  <si>
    <t>51.61505 N 104.1739 E</t>
  </si>
  <si>
    <t>51.56107 N 104.139 E</t>
  </si>
  <si>
    <t>51.54333 N 104.1334 E</t>
  </si>
  <si>
    <t>Bolshoe Goloustnoe</t>
  </si>
  <si>
    <t>52.01997 N 105.43037 E</t>
  </si>
  <si>
    <t>52.01783 N 105.43415 E</t>
  </si>
  <si>
    <t>52.01107 N 105.4527 E</t>
  </si>
  <si>
    <t>Buguldeika</t>
  </si>
  <si>
    <t>52.50921667 N 106.0395667 E</t>
  </si>
  <si>
    <t>Slyudyanka Bay</t>
  </si>
  <si>
    <t>55.4606 N 109.2324 E</t>
  </si>
  <si>
    <t>Ayaya Bay</t>
  </si>
  <si>
    <t>55.44739 N 109.82 E</t>
  </si>
  <si>
    <t>Listvyanka</t>
  </si>
  <si>
    <t>51.8397800 N 104.8965777 E</t>
  </si>
  <si>
    <t>51.8388788 N 104.8927116 E</t>
  </si>
  <si>
    <t>Posol'skoe</t>
  </si>
  <si>
    <t>52.062046 N 106.031688 E</t>
  </si>
  <si>
    <t>Boyarsky</t>
  </si>
  <si>
    <t>51.8637947 N 106.0405733 E</t>
  </si>
  <si>
    <t>51.8672587 N 106.0238109 E</t>
  </si>
  <si>
    <t>Table S2. Primers used in this work</t>
  </si>
  <si>
    <t>Primers name</t>
  </si>
  <si>
    <t>Sequence 5'-3'</t>
  </si>
  <si>
    <t>Template</t>
  </si>
  <si>
    <t>Gene</t>
  </si>
  <si>
    <t>Ref</t>
  </si>
  <si>
    <t>COI_F1</t>
  </si>
  <si>
    <t>TCTCTACTAATCATAAAGATATCGG</t>
  </si>
  <si>
    <t>cDNA &amp; DNA</t>
  </si>
  <si>
    <t>COI</t>
  </si>
  <si>
    <t>Gurkov et al., 2019</t>
  </si>
  <si>
    <t>COI_F4</t>
  </si>
  <si>
    <t>TAAACTATAAGCCTTCCAAGC</t>
  </si>
  <si>
    <t>DNA</t>
  </si>
  <si>
    <t>COI_F7</t>
  </si>
  <si>
    <t>GTGACTATTTTCTACTAACCA</t>
  </si>
  <si>
    <t>this study</t>
  </si>
  <si>
    <t>COI_R4</t>
  </si>
  <si>
    <t>TGTGAAGTAAGCTCGGGTAT</t>
  </si>
  <si>
    <t>both</t>
  </si>
  <si>
    <t>COI_R7</t>
  </si>
  <si>
    <t>AGCCTAGAAAACCAATAGCCAGT</t>
  </si>
  <si>
    <t>COI_H2198</t>
  </si>
  <si>
    <t>TAAACTTCAGGGTGACCAAAAAATCA</t>
  </si>
  <si>
    <t>Folmer et al., 1994</t>
  </si>
  <si>
    <t>LWS_4F</t>
  </si>
  <si>
    <t>GCGGAACTGGAACTGACTACCTCA</t>
  </si>
  <si>
    <t>cDNA</t>
  </si>
  <si>
    <t>LWS</t>
  </si>
  <si>
    <t>Drozdova et al., 2021</t>
  </si>
  <si>
    <t>LWS_4R</t>
  </si>
  <si>
    <t>GACTCCCATCTTCTTGGC</t>
  </si>
  <si>
    <t>LWS_7R</t>
  </si>
  <si>
    <t>CACGATGGGGGGTTGTAGAC</t>
  </si>
  <si>
    <t>GPDH_F</t>
  </si>
  <si>
    <t>ACTCTACTCACGGCGTCTTCAAG</t>
  </si>
  <si>
    <t>GPDH</t>
  </si>
  <si>
    <t>Protopopova et al., 2014</t>
  </si>
  <si>
    <t>GPDH_R</t>
  </si>
  <si>
    <t>CGCTGGACTCTACGATGTACTCAG</t>
  </si>
  <si>
    <t>Table S3. Primer combinations used for PCR and sequencing for each sample</t>
  </si>
  <si>
    <t>Primer for PCR</t>
  </si>
  <si>
    <t>Primer for rePCR</t>
  </si>
  <si>
    <t>Primers for sequencing</t>
  </si>
  <si>
    <t>Length</t>
  </si>
  <si>
    <t>Accession_numbers</t>
  </si>
  <si>
    <t>Sequence_ID</t>
  </si>
  <si>
    <t>Organism</t>
  </si>
  <si>
    <t>isolate</t>
  </si>
  <si>
    <t>Dept, m</t>
  </si>
  <si>
    <t>tissue</t>
  </si>
  <si>
    <t>Collected_by</t>
  </si>
  <si>
    <t>Collection_date</t>
  </si>
  <si>
    <t>Country:region</t>
  </si>
  <si>
    <t>Location</t>
  </si>
  <si>
    <t>Lat_Lon</t>
  </si>
  <si>
    <t>PV474327</t>
  </si>
  <si>
    <t>COI_Bay_1_Oa_1000m</t>
  </si>
  <si>
    <t>Ommatogammarus albinus</t>
  </si>
  <si>
    <t>Bay_1_Oa_1000m</t>
  </si>
  <si>
    <t>legs</t>
  </si>
  <si>
    <t>Ekaterina Telnes, Polina Drozdova, Anton Gurkov, Yaroslav Rzhechitskiy and Alexandra Saranchina</t>
  </si>
  <si>
    <t>Russia: Lake Baikal</t>
  </si>
  <si>
    <t>PV474328</t>
  </si>
  <si>
    <t>COI_Bay_2_Oa_1000m</t>
  </si>
  <si>
    <t>Bay_2_Oa_1000m</t>
  </si>
  <si>
    <t>PV474329</t>
  </si>
  <si>
    <t>COI_Bay_3_Oa_1000m</t>
  </si>
  <si>
    <t>Bay_3_Oa_1000m</t>
  </si>
  <si>
    <t>PV474330</t>
  </si>
  <si>
    <t>COI_Bay_4_Oa_1000m</t>
  </si>
  <si>
    <t>Bay_4_Oa_1000m</t>
  </si>
  <si>
    <t>PV474331</t>
  </si>
  <si>
    <t>COI_Bay_5_Oa_1000m</t>
  </si>
  <si>
    <t>Bay_5_Oa_1000m</t>
  </si>
  <si>
    <t>PV474394</t>
  </si>
  <si>
    <t>COI_Bay_6_Of_1000m</t>
  </si>
  <si>
    <t>Ommatogammarus flavus</t>
  </si>
  <si>
    <t>Bay_6_Of_1000m</t>
  </si>
  <si>
    <t>PV474395</t>
  </si>
  <si>
    <t>COI_Bay_7_Of_550m</t>
  </si>
  <si>
    <t>Bay_7_Of_550m</t>
  </si>
  <si>
    <t>PV474332</t>
  </si>
  <si>
    <t>COI_Bay_8_Oa_150m</t>
  </si>
  <si>
    <t>Bay_8_Oa_150m</t>
  </si>
  <si>
    <t>PV474333</t>
  </si>
  <si>
    <t>COI_Bay_9_Oa_150m</t>
  </si>
  <si>
    <t>Bay_9_Oa_150m</t>
  </si>
  <si>
    <t>PV474334</t>
  </si>
  <si>
    <t>COI_Bay_10_Oa_150m</t>
  </si>
  <si>
    <t>Bay_10_Oa_150m</t>
  </si>
  <si>
    <t>PV474335</t>
  </si>
  <si>
    <t>COI_Bay_11_Oa_150m</t>
  </si>
  <si>
    <t>Bay_11_Oa_150m</t>
  </si>
  <si>
    <t>PV474396</t>
  </si>
  <si>
    <t>COI_Bay_12_Of_150m</t>
  </si>
  <si>
    <t>Bay_12_Of_150m</t>
  </si>
  <si>
    <t>PV474397</t>
  </si>
  <si>
    <t>COI_Bay_13_Of_150m</t>
  </si>
  <si>
    <t>Bay_13_Of_150m</t>
  </si>
  <si>
    <t>PV474398</t>
  </si>
  <si>
    <t>COI_Bay_14_Of_150m</t>
  </si>
  <si>
    <t>Bay_14_Of_150m</t>
  </si>
  <si>
    <t>PV474399</t>
  </si>
  <si>
    <t>COI_BG_1_Of_150m</t>
  </si>
  <si>
    <t>BG_1_Of_150m</t>
  </si>
  <si>
    <t>Yulia Shirokova, Yaroslav Rzhechitskiy, Maxim Dagbaev, Ilia Vasilyev, Uliana Vasilyeva</t>
  </si>
  <si>
    <t>PV474400</t>
  </si>
  <si>
    <t>COI_BG_2_Of_150m</t>
  </si>
  <si>
    <t>BG_2_Of_150m</t>
  </si>
  <si>
    <t>PV474401</t>
  </si>
  <si>
    <t>COI_BG_3_Of_150m</t>
  </si>
  <si>
    <t>BG_3_Of_150m</t>
  </si>
  <si>
    <t>PV474402</t>
  </si>
  <si>
    <t>COI_BG_4_Of_150m</t>
  </si>
  <si>
    <t>BG_4_Of_150m</t>
  </si>
  <si>
    <t>PV474403</t>
  </si>
  <si>
    <t>COI_BG_5_Of_300m</t>
  </si>
  <si>
    <t>BG_5_Of_300m</t>
  </si>
  <si>
    <t>PV474404</t>
  </si>
  <si>
    <t>COI_BG_6_Of_300m</t>
  </si>
  <si>
    <t>BG_6_Of_300m</t>
  </si>
  <si>
    <t>PV474405</t>
  </si>
  <si>
    <t>COI_BG_7_Of_300m</t>
  </si>
  <si>
    <t>BG_7_Of_300m</t>
  </si>
  <si>
    <t>PV474406</t>
  </si>
  <si>
    <t>COI_BG_8_Of_300m</t>
  </si>
  <si>
    <t>BG_8_Of_300m</t>
  </si>
  <si>
    <t>PV474407</t>
  </si>
  <si>
    <t>COI_BG_9_Of_750m</t>
  </si>
  <si>
    <t>BG_9_Of_750m</t>
  </si>
  <si>
    <t>PV474316</t>
  </si>
  <si>
    <t>COI_BG_10_Oa_750m</t>
  </si>
  <si>
    <t>BG_10_Oa_750m</t>
  </si>
  <si>
    <t>PV474317</t>
  </si>
  <si>
    <t>COI_BG_11_Oa_750m</t>
  </si>
  <si>
    <t>BG_11_Oa_750m</t>
  </si>
  <si>
    <t>PV474318</t>
  </si>
  <si>
    <t>COI_BG_12_Oa_750m</t>
  </si>
  <si>
    <t>BG_12_Oa_750m</t>
  </si>
  <si>
    <t>PV474319</t>
  </si>
  <si>
    <t>COI_BG_13_Oa_300m</t>
  </si>
  <si>
    <t>BG_13_Oa_300m</t>
  </si>
  <si>
    <t>PV474320</t>
  </si>
  <si>
    <t>COI_BG_14_Oa_300m</t>
  </si>
  <si>
    <t>BG_14_Oa_300m</t>
  </si>
  <si>
    <t>PV474321</t>
  </si>
  <si>
    <t>COI_BG_15_Oa_300m</t>
  </si>
  <si>
    <t>BG_15_Oa_300m</t>
  </si>
  <si>
    <t>PV474322</t>
  </si>
  <si>
    <t>COI_BG_16_Oa_300m</t>
  </si>
  <si>
    <t>BG_16_Oa_300m</t>
  </si>
  <si>
    <t>PV474323</t>
  </si>
  <si>
    <t>COI_BG_17_Oa_300m</t>
  </si>
  <si>
    <t>BG_17_Oa_300m</t>
  </si>
  <si>
    <t>PV474324</t>
  </si>
  <si>
    <t>COI_BG_18_Oa_300m</t>
  </si>
  <si>
    <t>BG_18_Oa_300m</t>
  </si>
  <si>
    <t>PV474325</t>
  </si>
  <si>
    <t>COI_BG_20_Oa_750m</t>
  </si>
  <si>
    <t>BG_20_Oa_750m</t>
  </si>
  <si>
    <t>PV474326</t>
  </si>
  <si>
    <t>COI_BG_21_Oa_750m</t>
  </si>
  <si>
    <t>BG_21_Oa_750m</t>
  </si>
  <si>
    <t>PV474408</t>
  </si>
  <si>
    <t>COI_BG_24_Of_150m</t>
  </si>
  <si>
    <t>BG_24_Of_150m</t>
  </si>
  <si>
    <t>PV474374</t>
  </si>
  <si>
    <t>COI_Bug_1_Of_300m</t>
  </si>
  <si>
    <t>Bug_1_Of_300m</t>
  </si>
  <si>
    <t>Ekaterina Telnes, Ekaterina Shchapova, Elena Zolotovskaya, Anton Gurkov, Yaroslav Rzhechitskiy</t>
  </si>
  <si>
    <t>PV474375</t>
  </si>
  <si>
    <t>COI_Bug_2_Of_300m</t>
  </si>
  <si>
    <t>Bug_2_Of_300m</t>
  </si>
  <si>
    <t>PV474376</t>
  </si>
  <si>
    <t>COI_Bug_3_Of_300m</t>
  </si>
  <si>
    <t>Bug_3_Of_300m</t>
  </si>
  <si>
    <t>PV474377</t>
  </si>
  <si>
    <t>COI_Bug_4_Of_300m</t>
  </si>
  <si>
    <t>Bug_4_Of_300m</t>
  </si>
  <si>
    <t>PV474344</t>
  </si>
  <si>
    <t>COI_Bug_6_Oa_300m</t>
  </si>
  <si>
    <t>Bug_6_Oa_300m</t>
  </si>
  <si>
    <t>PV474345</t>
  </si>
  <si>
    <t>COI_Bug_7_Oa_300m</t>
  </si>
  <si>
    <t>Bug_7_Oa_300m</t>
  </si>
  <si>
    <t>PV474346</t>
  </si>
  <si>
    <t>COI_Bug_8_Oa_300m</t>
  </si>
  <si>
    <t>Bug_8_Oa_300m</t>
  </si>
  <si>
    <t>PV474378</t>
  </si>
  <si>
    <t>COI_Slud_9_Of_300m</t>
  </si>
  <si>
    <t>Slud_9_Of_300m</t>
  </si>
  <si>
    <t>Ekaterina Telnes</t>
  </si>
  <si>
    <t>PV474379</t>
  </si>
  <si>
    <t>COI_Slud_10_Of_300m</t>
  </si>
  <si>
    <t>Slud_10_Of_300m</t>
  </si>
  <si>
    <t>PV474380</t>
  </si>
  <si>
    <t>COI_Slud_11_Of_300m</t>
  </si>
  <si>
    <t>Slud_11_Of_300m</t>
  </si>
  <si>
    <t>PV474381</t>
  </si>
  <si>
    <t>COI_Slud_12_Of_300m</t>
  </si>
  <si>
    <t>Slud_12_Of_300m</t>
  </si>
  <si>
    <t>PV474336</t>
  </si>
  <si>
    <t>COI_Slud_13_Oa_300m</t>
  </si>
  <si>
    <t>Slud_13_Oa_300m</t>
  </si>
  <si>
    <t>PV474337</t>
  </si>
  <si>
    <t>COI_Slud_14_Oa_300m</t>
  </si>
  <si>
    <t>Slud_14_Oa_300m</t>
  </si>
  <si>
    <t>PV474338</t>
  </si>
  <si>
    <t>COI_Slud_15_Oa_300m</t>
  </si>
  <si>
    <t>Slud_15_Oa_300m</t>
  </si>
  <si>
    <t>PV474339</t>
  </si>
  <si>
    <t>COI_Slud_16_Oa_300m</t>
  </si>
  <si>
    <t>Slud_16_Oa_300m</t>
  </si>
  <si>
    <t>PV474382</t>
  </si>
  <si>
    <t>COI_Ayaya_17_Of_200m</t>
  </si>
  <si>
    <t>Ayaya_17_Of_200m</t>
  </si>
  <si>
    <t>PV474383</t>
  </si>
  <si>
    <t>COI_Ayaya_18_Of_200m</t>
  </si>
  <si>
    <t>Ayaya_18_Of_200m</t>
  </si>
  <si>
    <t>PV474384</t>
  </si>
  <si>
    <t>COI_Ayaya_19_Of_200m</t>
  </si>
  <si>
    <t>Ayaya_19_Of_200m</t>
  </si>
  <si>
    <t>PV474385</t>
  </si>
  <si>
    <t>COI_Ayaya_20_Of_200m</t>
  </si>
  <si>
    <t>Ayaya_20_Of_200m</t>
  </si>
  <si>
    <t>PV474340</t>
  </si>
  <si>
    <t>COI_Ayaya_21_Oa_200m</t>
  </si>
  <si>
    <t>Ayaya_21_Oa_200m</t>
  </si>
  <si>
    <t>PV474341</t>
  </si>
  <si>
    <t>COI_Ayaya_22_Oa_200m</t>
  </si>
  <si>
    <t>Ayaya_22_Oa_200m</t>
  </si>
  <si>
    <t>PV474342</t>
  </si>
  <si>
    <t>COI_Ayaya_23_Oa_200m</t>
  </si>
  <si>
    <t>Ayaya_23_Oa_200m</t>
  </si>
  <si>
    <t>PV474343</t>
  </si>
  <si>
    <t>COI_Ayaya_24_Oa_200m</t>
  </si>
  <si>
    <t>Ayaya_24_Oa_200m</t>
  </si>
  <si>
    <t>PV474386</t>
  </si>
  <si>
    <t>COI_Ayaya_25_Of_200m</t>
  </si>
  <si>
    <t>Ayaya_25_Of_200m</t>
  </si>
  <si>
    <t>PV474387</t>
  </si>
  <si>
    <t>COI_Ayaya_26_Of_200m</t>
  </si>
  <si>
    <t>Ayaya_26_Of_200m</t>
  </si>
  <si>
    <t>PV474388</t>
  </si>
  <si>
    <t>COI_Ayaya_27_Of_200m</t>
  </si>
  <si>
    <t>Ayaya_27_Of_200m</t>
  </si>
  <si>
    <t>PV474389</t>
  </si>
  <si>
    <t>COI_Ayaya_28_Of_200m</t>
  </si>
  <si>
    <t>Ayaya_28_Of_200m</t>
  </si>
  <si>
    <t>PV474390</t>
  </si>
  <si>
    <t>COI_Ayaya_29_Of_200m</t>
  </si>
  <si>
    <t>Ayaya_29_Of_200m</t>
  </si>
  <si>
    <t>PV474391</t>
  </si>
  <si>
    <t>COI_Ayaya_30_Of_200m</t>
  </si>
  <si>
    <t>Ayaya_30_Of_200m</t>
  </si>
  <si>
    <t>PV474392</t>
  </si>
  <si>
    <t>COI_Ayaya_31_Of_200m</t>
  </si>
  <si>
    <t>Ayaya_31_Of_200m</t>
  </si>
  <si>
    <t>PV474393</t>
  </si>
  <si>
    <t>COI_Ayaya_32_Of_200m</t>
  </si>
  <si>
    <t>Ayaya_32_Of_200m</t>
  </si>
  <si>
    <t>PV474312</t>
  </si>
  <si>
    <t>COI_Pos_2_Oa_200m</t>
  </si>
  <si>
    <t>Pos_2_Oa_200m</t>
  </si>
  <si>
    <t>Anatoliy Filippov</t>
  </si>
  <si>
    <t>Posolskoe</t>
  </si>
  <si>
    <t>PV474313</t>
  </si>
  <si>
    <t>COI_Pos_4_Oa_200m</t>
  </si>
  <si>
    <t>Pos_4_Oa_200m</t>
  </si>
  <si>
    <t>PV474411</t>
  </si>
  <si>
    <t>COI_Br_1_Of_50m</t>
  </si>
  <si>
    <t>Br_1_Of_50m</t>
  </si>
  <si>
    <t>PV474412</t>
  </si>
  <si>
    <t>COI_Br_2_Of_50m</t>
  </si>
  <si>
    <t>Br_2_Of_50m</t>
  </si>
  <si>
    <t>PV474310</t>
  </si>
  <si>
    <t>COI_Br_5_Oa_100m</t>
  </si>
  <si>
    <t>Br_5_Oa_80m</t>
  </si>
  <si>
    <t>PV474311</t>
  </si>
  <si>
    <t>COI_Br_8_Oa_100m</t>
  </si>
  <si>
    <t>Br_8_Oa_80m</t>
  </si>
  <si>
    <t>PV474409</t>
  </si>
  <si>
    <t>COI_List_9_Of_40m</t>
  </si>
  <si>
    <t>List_9_Of_50m</t>
  </si>
  <si>
    <t>Anatoliy Filippov, Alexandra Saranchina, Ekaterina Shchapova, Ekaterina Telnes</t>
  </si>
  <si>
    <t>PV474410</t>
  </si>
  <si>
    <t>COI_List_10_Of_40m</t>
  </si>
  <si>
    <t>List_10_Of_50m</t>
  </si>
  <si>
    <t>PV474314</t>
  </si>
  <si>
    <t>COI_List_19_Oa_80m</t>
  </si>
  <si>
    <t>List_19_Oa_50m</t>
  </si>
  <si>
    <t>PV474315</t>
  </si>
  <si>
    <t>COI_List_22_Oa_80m</t>
  </si>
  <si>
    <t>List_22_Oa_50m</t>
  </si>
  <si>
    <t>PV474354</t>
  </si>
  <si>
    <t>COI_BK_1_Of_1000m</t>
  </si>
  <si>
    <t>BK_1_Of_1000m</t>
  </si>
  <si>
    <t>eyes</t>
  </si>
  <si>
    <t>Ekaterina Telnes, Yulia Shirokova, Yaroslav Rzhechitskiy, Anton Gurkov, Andrei Mutin and Polina Drozdova</t>
  </si>
  <si>
    <t>сDNA</t>
  </si>
  <si>
    <t>PV474362</t>
  </si>
  <si>
    <t>COI_BK_2_Of_650m</t>
  </si>
  <si>
    <t>BK_2_Of_650m</t>
  </si>
  <si>
    <t>Ekaterina Telnes, Yulia Shirokova, Yaroslav Rzhechitskiy, Anton Gurkov and Andrei Mutin</t>
  </si>
  <si>
    <t>PV474367</t>
  </si>
  <si>
    <t>COI_BK_3_Of_250m</t>
  </si>
  <si>
    <t>BK_3_Of_250m</t>
  </si>
  <si>
    <t>PV474372</t>
  </si>
  <si>
    <t>COI_BK_4_Of_100m</t>
  </si>
  <si>
    <t>BK_4_Of_100m</t>
  </si>
  <si>
    <t>PV474307</t>
  </si>
  <si>
    <t>COI_BK_6_Oa_1000m</t>
  </si>
  <si>
    <t>BK_6_Oa_1000m</t>
  </si>
  <si>
    <t>PV474308</t>
  </si>
  <si>
    <t>COI_BK_7_Oa_650m</t>
  </si>
  <si>
    <t>BK_7_Oa_650m</t>
  </si>
  <si>
    <t>PV474309</t>
  </si>
  <si>
    <t>COI_BK_8_Oa_250m</t>
  </si>
  <si>
    <t>BK_8_Oa_250m</t>
  </si>
  <si>
    <t>PV474373</t>
  </si>
  <si>
    <t>COI_BK_9_Of_1000m</t>
  </si>
  <si>
    <t>BK_9_Of_1000m</t>
  </si>
  <si>
    <t>PV474347</t>
  </si>
  <si>
    <t>COI_BK_10_Of_650m</t>
  </si>
  <si>
    <t>BK_10_Of_650m</t>
  </si>
  <si>
    <t>PV474348</t>
  </si>
  <si>
    <t>COI_BK_11_Of_250m</t>
  </si>
  <si>
    <t>BK_11_Of_250m</t>
  </si>
  <si>
    <t>PV474349</t>
  </si>
  <si>
    <t>COI_BK_12_Of_100m</t>
  </si>
  <si>
    <t>BK_12_Of_100m</t>
  </si>
  <si>
    <t>PV474350</t>
  </si>
  <si>
    <t>COI_BK_13_Of_25m</t>
  </si>
  <si>
    <t>BK_13_Of_25m</t>
  </si>
  <si>
    <t>PV474290</t>
  </si>
  <si>
    <t>COI_BK_14_Oa_1000m</t>
  </si>
  <si>
    <t>BK_14_Oa_1000m</t>
  </si>
  <si>
    <t>PV474291</t>
  </si>
  <si>
    <t>COI_BK_15_Oa_650m</t>
  </si>
  <si>
    <t>BK_15_Oa_650m</t>
  </si>
  <si>
    <t>PV474292</t>
  </si>
  <si>
    <t>COI_BK_16_Oa_250m</t>
  </si>
  <si>
    <t>BK_16_Oa_250m</t>
  </si>
  <si>
    <t>PV474351</t>
  </si>
  <si>
    <t>COI_BK_17_Of_1000m</t>
  </si>
  <si>
    <t>BK_17_Of_1000m</t>
  </si>
  <si>
    <t>PV474352</t>
  </si>
  <si>
    <t>COI_BK_18_Of_650m</t>
  </si>
  <si>
    <t>BK_18_Of_650m</t>
  </si>
  <si>
    <t>PV474353</t>
  </si>
  <si>
    <t>COI_BK_19_Of_250m</t>
  </si>
  <si>
    <t>BK_19_Of_250m</t>
  </si>
  <si>
    <t>eyes+legs</t>
  </si>
  <si>
    <t>сDNA &amp; DNA</t>
  </si>
  <si>
    <t>PV474355</t>
  </si>
  <si>
    <t>COI_BK_20_Of_100m</t>
  </si>
  <si>
    <t>BK_20_Of_100m</t>
  </si>
  <si>
    <t>PV474356</t>
  </si>
  <si>
    <t>COI_BK_21_Of_25m</t>
  </si>
  <si>
    <t>BK_21_Of_25m</t>
  </si>
  <si>
    <t>PV474293</t>
  </si>
  <si>
    <t>COI_BK_22_Oa_1000m</t>
  </si>
  <si>
    <t>BK_22_Oa_1000m</t>
  </si>
  <si>
    <t>PV474294</t>
  </si>
  <si>
    <t>COI_BK_23_Oa_650m</t>
  </si>
  <si>
    <t>BK_23_Oa_650m</t>
  </si>
  <si>
    <t>PV474295</t>
  </si>
  <si>
    <t>COI_BK_24_Oa_250m</t>
  </si>
  <si>
    <t>BK_24_Oa_250m</t>
  </si>
  <si>
    <t>PV474357</t>
  </si>
  <si>
    <t>COI_BK_25_Of_1000m</t>
  </si>
  <si>
    <t>BK_25_Of_1000m</t>
  </si>
  <si>
    <t>PV474358</t>
  </si>
  <si>
    <t>COI_BK_26_Of_650m</t>
  </si>
  <si>
    <t>BK_26_Of_650m</t>
  </si>
  <si>
    <t>PV474359</t>
  </si>
  <si>
    <t>COI_BK_27_Of_250m</t>
  </si>
  <si>
    <t>BK_27_Of_250m</t>
  </si>
  <si>
    <t>PV474360</t>
  </si>
  <si>
    <t>COI_BK_28_Of_100m</t>
  </si>
  <si>
    <t>BK_28_Of_100m</t>
  </si>
  <si>
    <t>PV474361</t>
  </si>
  <si>
    <t>COI_BK_29_Of_25m</t>
  </si>
  <si>
    <t>BK_29_Of_25m</t>
  </si>
  <si>
    <t>PV474296</t>
  </si>
  <si>
    <t>COI_BK_30_Oa_1000m</t>
  </si>
  <si>
    <t>BK_30_Oa_1000m</t>
  </si>
  <si>
    <t>PV474363</t>
  </si>
  <si>
    <t>COI_BK_31_Of_650m</t>
  </si>
  <si>
    <t>BK_31_Of_650m</t>
  </si>
  <si>
    <t>PV474297</t>
  </si>
  <si>
    <t>COI_BK_32_Oa_250m</t>
  </si>
  <si>
    <t>BK_32_Oa_250m</t>
  </si>
  <si>
    <t>PV474364</t>
  </si>
  <si>
    <t>COI_BK_33_Of_1000m</t>
  </si>
  <si>
    <t>BK_33_Of_1000m</t>
  </si>
  <si>
    <t>PV474365</t>
  </si>
  <si>
    <t>COI_BK_34_Of_1000m</t>
  </si>
  <si>
    <t>BK_34_Of_1000m</t>
  </si>
  <si>
    <t>PV474366</t>
  </si>
  <si>
    <t>COI_BK_35_Of_25m</t>
  </si>
  <si>
    <t>BK_35_Of_25m</t>
  </si>
  <si>
    <t>PV474298</t>
  </si>
  <si>
    <t>COI_BK_36_Oa_1000m</t>
  </si>
  <si>
    <t>BK_36_Oa_1000m</t>
  </si>
  <si>
    <t>PV474299</t>
  </si>
  <si>
    <t>COI_BK_37_Oa_100m</t>
  </si>
  <si>
    <t>BK_37_Oa_100m</t>
  </si>
  <si>
    <t>PV474300</t>
  </si>
  <si>
    <t>COI_BK_38_Oa_100m</t>
  </si>
  <si>
    <t>BK_38_Oa_100m</t>
  </si>
  <si>
    <t>PV474301</t>
  </si>
  <si>
    <t>COI_BK_39_Oa_100m</t>
  </si>
  <si>
    <t>BK_39_Oa_100m</t>
  </si>
  <si>
    <t>PV474302</t>
  </si>
  <si>
    <t>COI_BK_40_Oa_100m</t>
  </si>
  <si>
    <t>BK_40_Oa_100m</t>
  </si>
  <si>
    <t>PV474368</t>
  </si>
  <si>
    <t>COI_BK_41_Of_1000m</t>
  </si>
  <si>
    <t>BK_41_Of_1000m</t>
  </si>
  <si>
    <t>PV474369</t>
  </si>
  <si>
    <t>COI_BK_42_Of_650m</t>
  </si>
  <si>
    <t>BK_42_31_Of_650m</t>
  </si>
  <si>
    <t>PV474370</t>
  </si>
  <si>
    <t>COI_BK_43_Of_250m</t>
  </si>
  <si>
    <t>BK_43_Of_250m</t>
  </si>
  <si>
    <t>PV474371</t>
  </si>
  <si>
    <t>COI_BK_44_Of_100m</t>
  </si>
  <si>
    <t>BK_44_Of_100m</t>
  </si>
  <si>
    <t>PV474303</t>
  </si>
  <si>
    <t>COI_BK_45_Oa_1000m</t>
  </si>
  <si>
    <t>BK_45_Oa_1000m</t>
  </si>
  <si>
    <t>PV474304</t>
  </si>
  <si>
    <t>COI_BK_46_Oa_650m</t>
  </si>
  <si>
    <t>BK_46_Oa_650m</t>
  </si>
  <si>
    <t>PV474305</t>
  </si>
  <si>
    <t>COI_BK_47_Oa_250m</t>
  </si>
  <si>
    <t>BK_47_Oa_250m</t>
  </si>
  <si>
    <t>PV474306</t>
  </si>
  <si>
    <t>COI_BK_48_Oa_100m</t>
  </si>
  <si>
    <t>BK_48_Oa_100m</t>
  </si>
  <si>
    <t>PV491384</t>
  </si>
  <si>
    <t>1_O_flavus_1000m_LWS</t>
  </si>
  <si>
    <t>PV491391</t>
  </si>
  <si>
    <t>3_O_flavus_250m_LWS</t>
  </si>
  <si>
    <t>PV491400</t>
  </si>
  <si>
    <t>7_O_albinus_650m_LWS</t>
  </si>
  <si>
    <t>PV491404</t>
  </si>
  <si>
    <t>8_O_albinus_250m_LWS</t>
  </si>
  <si>
    <t>PV491385</t>
  </si>
  <si>
    <t>9_O_flavus_1000m_LWS</t>
  </si>
  <si>
    <t>PV491388</t>
  </si>
  <si>
    <t>10_O_flavus_650m_LWS</t>
  </si>
  <si>
    <t>PV491392</t>
  </si>
  <si>
    <t>11_O_flavus_250m_LWS</t>
  </si>
  <si>
    <t>PV491395</t>
  </si>
  <si>
    <t>13_O_flavus_25m_LWS</t>
  </si>
  <si>
    <t>PV491397</t>
  </si>
  <si>
    <t>14_O_albinus_1000m_LWS</t>
  </si>
  <si>
    <t>PV491401</t>
  </si>
  <si>
    <t>15_O_albinus_650m_LWS</t>
  </si>
  <si>
    <t>PV491405</t>
  </si>
  <si>
    <t>16_O_albinus_250m_LWS</t>
  </si>
  <si>
    <t>PV491386</t>
  </si>
  <si>
    <t>17_O_flavus_1000m_LWS</t>
  </si>
  <si>
    <t>PV491389</t>
  </si>
  <si>
    <t>18_O_flavus_650m_LWS</t>
  </si>
  <si>
    <t>PV491396</t>
  </si>
  <si>
    <t>21_O_flavus_25m_LWS</t>
  </si>
  <si>
    <t>PV491398</t>
  </si>
  <si>
    <t>22_O_albinus_1000m_LWS</t>
  </si>
  <si>
    <t>PV491402</t>
  </si>
  <si>
    <t>23_O_albinus_650m_LWS</t>
  </si>
  <si>
    <t>PV491406</t>
  </si>
  <si>
    <t>24_O_albinus_250m_LWS</t>
  </si>
  <si>
    <t>PV491387</t>
  </si>
  <si>
    <t>25_O_flavus_1000m_LWS</t>
  </si>
  <si>
    <t>PV491390</t>
  </si>
  <si>
    <t>26_O_flavus_650m_LWS</t>
  </si>
  <si>
    <t>PV491393</t>
  </si>
  <si>
    <t>27_O_flavus_250m_LWS</t>
  </si>
  <si>
    <t>PV491407</t>
  </si>
  <si>
    <t>32_O_albinus_250m_LWS</t>
  </si>
  <si>
    <t>PV491399</t>
  </si>
  <si>
    <t>36_O_albinus_1000m_LWS</t>
  </si>
  <si>
    <t>PV491408</t>
  </si>
  <si>
    <t>38_O_albinus_100m_LWS</t>
  </si>
  <si>
    <t>PV491409</t>
  </si>
  <si>
    <t>40_O_albinus_100m_LWS</t>
  </si>
  <si>
    <t>PV491394</t>
  </si>
  <si>
    <t>43_O_flavus_250m_LWS</t>
  </si>
  <si>
    <t>PV491410</t>
  </si>
  <si>
    <t>45_O_albinus_1000m_LWS</t>
  </si>
  <si>
    <t>PV491403</t>
  </si>
  <si>
    <t>46_O_albinus_650m_LWS</t>
  </si>
  <si>
    <t>Table S4. Measurements for the sample of O. flavus and O. albinus from different depths in Bolshie Koty (supporting information for Figs. 5, 7, and 8)</t>
  </si>
  <si>
    <t>Body</t>
  </si>
  <si>
    <t>Eyes</t>
  </si>
  <si>
    <t>Carotenoid extraction</t>
  </si>
  <si>
    <t>qPCR</t>
  </si>
  <si>
    <t>Depth</t>
  </si>
  <si>
    <t>#</t>
  </si>
  <si>
    <t>Weight/mg</t>
  </si>
  <si>
    <t>Length/mm</t>
  </si>
  <si>
    <t>Area</t>
  </si>
  <si>
    <t>S_eye/L_body</t>
  </si>
  <si>
    <t>L_eye/L_body</t>
  </si>
  <si>
    <t>square root S eye/L_body</t>
  </si>
  <si>
    <t>V of petroleum ether, cm3</t>
  </si>
  <si>
    <t>A450</t>
  </si>
  <si>
    <t>A600</t>
  </si>
  <si>
    <t>OD corrected</t>
  </si>
  <si>
    <t>Carotenoids, ppm_corrected</t>
  </si>
  <si>
    <t>Exp</t>
  </si>
  <si>
    <t>Control</t>
  </si>
  <si>
    <t>deltaCt</t>
  </si>
  <si>
    <t>O_flavus_1</t>
  </si>
  <si>
    <t>NA</t>
  </si>
  <si>
    <t>O_flavus_9</t>
  </si>
  <si>
    <t>O_flavus_17</t>
  </si>
  <si>
    <t>O_flavus_25</t>
  </si>
  <si>
    <t>O_flavus_33</t>
  </si>
  <si>
    <t>O_flavus_34</t>
  </si>
  <si>
    <t>O_flavus_41</t>
  </si>
  <si>
    <t>O_flavus_2</t>
  </si>
  <si>
    <t>O_flavus_10</t>
  </si>
  <si>
    <t>O_flavus_18</t>
  </si>
  <si>
    <t>O_flavus_26</t>
  </si>
  <si>
    <t>O_flavus_31</t>
  </si>
  <si>
    <t>O_flavus_42</t>
  </si>
  <si>
    <t>O_flavus_3</t>
  </si>
  <si>
    <t>O_flavus_11</t>
  </si>
  <si>
    <t>O_flavus_19</t>
  </si>
  <si>
    <t>O_flavus_27</t>
  </si>
  <si>
    <t>O_flavus_43</t>
  </si>
  <si>
    <t>O_flavus_4</t>
  </si>
  <si>
    <t>O_flavus_12</t>
  </si>
  <si>
    <t>O_flavus_20</t>
  </si>
  <si>
    <t>O_flavus_28</t>
  </si>
  <si>
    <t>O_flavus_44</t>
  </si>
  <si>
    <t>O_flavus_5</t>
  </si>
  <si>
    <t>O_flavus_13</t>
  </si>
  <si>
    <t>O_flavus_21</t>
  </si>
  <si>
    <t>O_flavus_29</t>
  </si>
  <si>
    <t>O_flavus_35</t>
  </si>
  <si>
    <t>O_albinus_6</t>
  </si>
  <si>
    <t>O_albinus_14</t>
  </si>
  <si>
    <t>O_albinus_22</t>
  </si>
  <si>
    <t>O_albinus_30</t>
  </si>
  <si>
    <t>O_albinus_36</t>
  </si>
  <si>
    <t>O_albinus_45</t>
  </si>
  <si>
    <t>O_albinus_7</t>
  </si>
  <si>
    <t>O_albinus_15</t>
  </si>
  <si>
    <t>O_albinus_23</t>
  </si>
  <si>
    <t>O_albinus_46</t>
  </si>
  <si>
    <t>O_albinus_8</t>
  </si>
  <si>
    <t>O_albinus_16</t>
  </si>
  <si>
    <t>O_albinus_24</t>
  </si>
  <si>
    <t>O_albinus_32</t>
  </si>
  <si>
    <t>O_albinus_47</t>
  </si>
  <si>
    <t>O_albinus_37</t>
  </si>
  <si>
    <t>O_albinus_38</t>
  </si>
  <si>
    <t>O_albinus_39</t>
  </si>
  <si>
    <t>O_albinus_40</t>
  </si>
  <si>
    <t>O_albinus_48</t>
  </si>
  <si>
    <t>Table S5. Color and body length measurements for O. flavus from different depth (supporting information for Fig. 6)</t>
  </si>
  <si>
    <t>Number</t>
  </si>
  <si>
    <t>Pereon_color</t>
  </si>
  <si>
    <t>8c7d57</t>
  </si>
  <si>
    <t>8d7b4c</t>
  </si>
  <si>
    <t>a0824f</t>
  </si>
  <si>
    <t>b1a285</t>
  </si>
  <si>
    <t>8a5d1b</t>
  </si>
  <si>
    <t>a28353</t>
  </si>
  <si>
    <t>94805e</t>
  </si>
  <si>
    <t>a09871</t>
  </si>
  <si>
    <t>a2957a</t>
  </si>
  <si>
    <t>886e48</t>
  </si>
  <si>
    <t>6e3a23</t>
  </si>
  <si>
    <t>b39979</t>
  </si>
  <si>
    <t>998561</t>
  </si>
  <si>
    <t>965f29</t>
  </si>
  <si>
    <t>8d6e39</t>
  </si>
  <si>
    <t>8b7348</t>
  </si>
  <si>
    <t>998152</t>
  </si>
  <si>
    <t>96703e</t>
  </si>
  <si>
    <t>94673f</t>
  </si>
  <si>
    <t>8d7e58</t>
  </si>
  <si>
    <t>926123</t>
  </si>
  <si>
    <t>a69878</t>
  </si>
  <si>
    <t>a9783c</t>
  </si>
  <si>
    <t>8b5e23</t>
  </si>
  <si>
    <t>987a3d</t>
  </si>
  <si>
    <t>a27c54</t>
  </si>
  <si>
    <t>874b2e</t>
  </si>
  <si>
    <t>867b58</t>
  </si>
  <si>
    <t>b0a385</t>
  </si>
  <si>
    <t>7f3723</t>
  </si>
  <si>
    <t>955417</t>
  </si>
  <si>
    <t>70552f</t>
  </si>
  <si>
    <t>9c8862</t>
  </si>
  <si>
    <t>a0824c</t>
  </si>
  <si>
    <t>8b5012</t>
  </si>
  <si>
    <t>7d2b12</t>
  </si>
  <si>
    <t>816b2f</t>
  </si>
  <si>
    <t>9d8055</t>
  </si>
  <si>
    <t>9b835e</t>
  </si>
  <si>
    <t>935f3a</t>
  </si>
  <si>
    <t>8c6633</t>
  </si>
  <si>
    <t>836a44</t>
  </si>
  <si>
    <t>98571b</t>
  </si>
  <si>
    <t>a07a3a</t>
  </si>
  <si>
    <t>937e5c</t>
  </si>
  <si>
    <t>7d5f30</t>
  </si>
  <si>
    <t>957e49</t>
  </si>
  <si>
    <t>916b28</t>
  </si>
  <si>
    <t>a5782d</t>
  </si>
  <si>
    <t>a87d3b</t>
  </si>
  <si>
    <t>916632</t>
  </si>
  <si>
    <t>92712c</t>
  </si>
  <si>
    <t>ac7e3d</t>
  </si>
  <si>
    <t>8c5f1d</t>
  </si>
  <si>
    <t>b59151</t>
  </si>
  <si>
    <t>8d6337</t>
  </si>
  <si>
    <t>a8692a</t>
  </si>
  <si>
    <t>9f804e</t>
  </si>
  <si>
    <t>946837</t>
  </si>
  <si>
    <t>ae7b35</t>
  </si>
  <si>
    <t>af7b3e</t>
  </si>
  <si>
    <t>9b7545</t>
  </si>
  <si>
    <t>955819</t>
  </si>
  <si>
    <t>976c37</t>
  </si>
  <si>
    <t>9e7f56</t>
  </si>
  <si>
    <t>865524</t>
  </si>
  <si>
    <t>986225</t>
  </si>
  <si>
    <t>ac7540</t>
  </si>
  <si>
    <t>864c1d</t>
  </si>
  <si>
    <t>9c5318</t>
  </si>
  <si>
    <t>a56b2e</t>
  </si>
  <si>
    <t>9d5913</t>
  </si>
  <si>
    <t>a25c2d</t>
  </si>
  <si>
    <t>8d4c1e</t>
  </si>
  <si>
    <t>ad601e</t>
  </si>
  <si>
    <t>ad823d</t>
  </si>
  <si>
    <t>a15e2b</t>
  </si>
  <si>
    <t>a2682d</t>
  </si>
  <si>
    <t>822c11</t>
  </si>
  <si>
    <t>976c26</t>
  </si>
  <si>
    <t>9e6831</t>
  </si>
  <si>
    <t>8e531a</t>
  </si>
  <si>
    <t>9a5b1e</t>
  </si>
  <si>
    <t>b36b30</t>
  </si>
  <si>
    <t>b26131</t>
  </si>
  <si>
    <t>af622c</t>
  </si>
  <si>
    <t>b36622</t>
  </si>
  <si>
    <t>b3671e</t>
  </si>
  <si>
    <t>ae7442</t>
  </si>
  <si>
    <t>9c581b</t>
  </si>
  <si>
    <t>bd712a</t>
  </si>
  <si>
    <t>b3652a</t>
  </si>
  <si>
    <t>a75320</t>
  </si>
  <si>
    <t>b36727</t>
  </si>
  <si>
    <t>a36c1d</t>
  </si>
  <si>
    <t>aa6232</t>
  </si>
  <si>
    <t>b35e2b</t>
  </si>
  <si>
    <t>a54811</t>
  </si>
  <si>
    <t>9f5520</t>
  </si>
  <si>
    <t>a65f1a</t>
  </si>
  <si>
    <t>a45016</t>
  </si>
  <si>
    <t>aa5918</t>
  </si>
  <si>
    <t>bc793c</t>
  </si>
  <si>
    <t>a46d33</t>
  </si>
  <si>
    <t>ae6725</t>
  </si>
  <si>
    <t>a3541b</t>
  </si>
  <si>
    <t>b3813e</t>
  </si>
  <si>
    <t>a5642a</t>
  </si>
  <si>
    <t>a57135</t>
  </si>
  <si>
    <t>a25a29</t>
  </si>
  <si>
    <t>933c1c</t>
  </si>
  <si>
    <t>823511</t>
  </si>
  <si>
    <t>b87941</t>
  </si>
  <si>
    <t>955f2c</t>
  </si>
  <si>
    <t>a3592b</t>
  </si>
  <si>
    <t>a75f33</t>
  </si>
  <si>
    <t>9f491c</t>
  </si>
  <si>
    <t>ab4f1c</t>
  </si>
  <si>
    <t>97542a</t>
  </si>
  <si>
    <t>95440f</t>
  </si>
  <si>
    <t>bb6e2c</t>
  </si>
  <si>
    <t>ad6429</t>
  </si>
  <si>
    <t>955612</t>
  </si>
  <si>
    <t>b87e3f</t>
  </si>
  <si>
    <t>a7743c</t>
  </si>
  <si>
    <t>a55623</t>
  </si>
  <si>
    <t>c97430</t>
  </si>
  <si>
    <t>a55a1c</t>
  </si>
  <si>
    <t>b15d1d</t>
  </si>
  <si>
    <t>842d13</t>
  </si>
  <si>
    <t>97371b</t>
  </si>
  <si>
    <t>af6e32</t>
  </si>
  <si>
    <t>bc884e</t>
  </si>
  <si>
    <t>975120</t>
  </si>
  <si>
    <t>a16834</t>
  </si>
  <si>
    <t>a85d22</t>
  </si>
</sst>
</file>

<file path=xl/styles.xml><?xml version="1.0" encoding="utf-8"?>
<styleSheet xmlns="http://schemas.openxmlformats.org/spreadsheetml/2006/main">
  <numFmts count="12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#,##0.0000"/>
    <numFmt numFmtId="165" formatCode="0.0000"/>
    <numFmt numFmtId="166" formatCode="0.000"/>
    <numFmt numFmtId="49" formatCode="@"/>
  </numFmts>
  <fonts count="12">
    <font>
      <name val="Arial"/>
      <family val="1"/>
      <color rgb="FF000000"/>
      <sz val="10"/>
      <extLst>
        <ext uri="smNativeData">
          <pm:charSpec xmlns:pm="smNativeData" id="1752044485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52044485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i/>
      <color rgb="FF000000"/>
      <sz val="10"/>
      <extLst>
        <ext uri="smNativeData">
          <pm:charSpec xmlns:pm="smNativeData" id="1752044485" ulstyle="none" kern="1">
            <pm:latin face="Arial" sz="200" lang="default" weight="bold" i="1"/>
            <pm:cs face="Basic Roman" sz="200" lang="default" weight="bold" i="1"/>
            <pm:ea face="Basic Roman" sz="200" lang="default" weight="bold" i="1"/>
          </pm:charSpec>
        </ext>
      </extLst>
    </font>
    <font>
      <name val="Arial"/>
      <family val="1"/>
      <i/>
      <color rgb="FF000000"/>
      <sz val="10"/>
      <extLst>
        <ext uri="smNativeData">
          <pm:charSpec xmlns:pm="smNativeData" id="1752044485" ulstyle="none" kern="1">
            <pm:latin face="Arial" sz="200" lang="default" i="1"/>
            <pm:cs face="Basic Roman" sz="200" lang="default" i="1"/>
            <pm:ea face="Basic Roman" sz="200" lang="default" i="1"/>
          </pm:charSpec>
        </ext>
      </extLst>
    </font>
    <font>
      <name val="Arial"/>
      <family val="1"/>
      <color rgb="FF000000"/>
      <sz val="11"/>
      <extLst>
        <ext uri="smNativeData">
          <pm:charSpec xmlns:pm="smNativeData" id="1752044485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52044485" ulstyle="none" kern="1">
            <pm:latin face="Arial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Arial"/>
      <family val="1"/>
      <b/>
      <i/>
      <color rgb="FF222222"/>
      <sz val="11"/>
      <extLst>
        <ext uri="smNativeData">
          <pm:charSpec xmlns:pm="smNativeData" id="1752044485" fgClr="222222" ulstyle="none" kern="1">
            <pm:latin face="Arial" sz="220" lang="default" weight="bold" i="1"/>
            <pm:cs face="Basic Roman" sz="220" lang="default" weight="bold" i="1"/>
            <pm:ea face="Basic Roman" sz="220" lang="default" weight="bold" i="1"/>
          </pm:charSpec>
        </ext>
      </extLst>
    </font>
    <font>
      <name val="Arial"/>
      <family val="1"/>
      <i/>
      <color rgb="FF000000"/>
      <sz val="11"/>
      <extLst>
        <ext uri="smNativeData">
          <pm:charSpec xmlns:pm="smNativeData" id="1752044485" ulstyle="none" kern="1">
            <pm:latin face="Arial" sz="220" lang="default" i="1"/>
            <pm:cs face="Basic Roman" sz="220" lang="default" i="1"/>
            <pm:ea face="Basic Roman" sz="220" lang="default" i="1"/>
          </pm:charSpec>
        </ext>
      </extLst>
    </font>
    <font>
      <name val="Arial"/>
      <family val="1"/>
      <b/>
      <i/>
      <color rgb="FF000000"/>
      <sz val="11"/>
      <extLst>
        <ext uri="smNativeData">
          <pm:charSpec xmlns:pm="smNativeData" id="1752044485" ulstyle="none" kern="1">
            <pm:latin face="Arial" sz="220" lang="default" weight="bold" i="1"/>
            <pm:cs face="Basic Roman" sz="220" lang="default" weight="bold" i="1"/>
            <pm:ea face="Basic Roman" sz="220" lang="default" weight="bold" i="1"/>
          </pm:charSpec>
        </ext>
      </extLst>
    </font>
    <font>
      <name val="Arial"/>
      <family val="1"/>
      <color rgb="FF000000"/>
      <sz val="11"/>
      <extLst>
        <ext uri="smNativeData">
          <pm:charSpec xmlns:pm="smNativeData" id="1752044485" ulstyle="none" kern="1">
            <pm:latin face="Arial" sz="22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52044485" ulstyle="none" kern="1">
            <pm:latin face="Calibri" sz="22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Arial"/>
      <family val="1"/>
      <i/>
      <color rgb="FF000000"/>
      <sz val="11"/>
      <extLst>
        <ext uri="smNativeData">
          <pm:charSpec xmlns:pm="smNativeData" id="1752044485" ulstyle="none" kern="1">
            <pm:latin face="Arial" sz="220" lang="default" i="1"/>
            <pm:cs face="Basic Roman" sz="200" lang="default"/>
            <pm:ea face="Basic Roman" sz="200" lang="default"/>
          </pm:charSpec>
        </ext>
      </extLst>
    </font>
  </fonts>
  <fills count="43">
    <fill>
      <patternFill patternType="none"/>
    </fill>
    <fill>
      <patternFill patternType="gray125"/>
    </fill>
    <fill>
      <patternFill patternType="none"/>
    </fill>
    <fill>
      <patternFill patternType="solid">
        <fgColor rgb="FF4A86E8"/>
        <bgColor rgb="FFFFFFFF"/>
        <extLst>
          <ext uri="smNativeData">
            <pm:shade xmlns:pm="smNativeData" id="1752044485" type="1" fgLvl="100" fgClr="004A86E8" bgLvl="0" bgClr="00FFFFFF"/>
          </ext>
        </extLst>
      </patternFill>
    </fill>
    <fill>
      <patternFill patternType="solid">
        <fgColor rgb="FF4A86E8"/>
        <bgColor rgb="FFFFFFFF"/>
        <extLst>
          <ext uri="smNativeData">
            <pm:shade xmlns:pm="smNativeData" id="1752044485" type="1" fgLvl="100" fgClr="004A86E8" bgLvl="0" bgClr="00FFFFFF"/>
          </ext>
        </extLst>
      </patternFill>
    </fill>
    <fill>
      <patternFill patternType="none"/>
    </fill>
    <fill>
      <patternFill patternType="solid">
        <fgColor rgb="FF4A86E8"/>
        <bgColor rgb="FFFFFFFF"/>
        <extLst>
          <ext uri="smNativeData">
            <pm:shade xmlns:pm="smNativeData" id="1752044485" type="1" fgLvl="100" fgClr="004A86E8" bgLvl="0" bgClr="00FFFFFF"/>
          </ext>
        </extLst>
      </patternFill>
    </fill>
    <fill>
      <patternFill patternType="solid">
        <fgColor rgb="FF4285F4"/>
        <bgColor rgb="FFFFFFFF"/>
        <extLst>
          <ext uri="smNativeData">
            <pm:shade xmlns:pm="smNativeData" id="1752044485" type="1" fgLvl="100" fgClr="004285F4" bgLvl="0" bgClr="00FFFFFF"/>
          </ext>
        </extLst>
      </patternFill>
    </fill>
    <fill>
      <patternFill patternType="solid">
        <fgColor rgb="FFD8E5F8"/>
        <bgColor rgb="FFFFFFFF"/>
        <extLst>
          <ext uri="smNativeData">
            <pm:shade xmlns:pm="smNativeData" id="1752044485" type="1" fgLvl="100" fgClr="00D8E5F8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833C0C"/>
        <bgColor rgb="FFFFFFFF"/>
        <extLst>
          <ext uri="smNativeData">
            <pm:shade xmlns:pm="smNativeData" id="1752044485" type="1" fgLvl="100" fgClr="00833C0C" bgLvl="0" bgClr="00FFFFFF"/>
          </ext>
        </extLst>
      </patternFill>
    </fill>
    <fill>
      <patternFill patternType="solid">
        <fgColor rgb="FFC65911"/>
        <bgColor rgb="FFFFFFFF"/>
        <extLst>
          <ext uri="smNativeData">
            <pm:shade xmlns:pm="smNativeData" id="1752044485" type="1" fgLvl="100" fgClr="00C65911" bgLvl="0" bgClr="00FFFFFF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52044485" type="1" fgLvl="100" fgClr="00F4AF82" bgLvl="0" bgClr="00FFFFFF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52044485" type="1" fgLvl="100" fgClr="00F8CAAB" bgLvl="0" bgClr="00FFFFFF"/>
          </ext>
        </extLst>
      </patternFill>
    </fill>
    <fill>
      <patternFill patternType="solid">
        <fgColor rgb="FFFEF5F0"/>
        <bgColor rgb="FFFFFFFF"/>
        <extLst>
          <ext uri="smNativeData">
            <pm:shade xmlns:pm="smNativeData" id="1752044485" type="1" fgLvl="100" fgClr="00FEF5F0" bgLvl="0" bgClr="00FFFFFF"/>
          </ext>
        </extLst>
      </patternFill>
    </fill>
    <fill>
      <patternFill patternType="solid">
        <fgColor rgb="FF203764"/>
        <bgColor rgb="FFFFFFFF"/>
        <extLst>
          <ext uri="smNativeData">
            <pm:shade xmlns:pm="smNativeData" id="1752044485" type="1" fgLvl="100" fgClr="00203764" bgLvl="0" bgClr="00FFFFFF"/>
          </ext>
        </extLst>
      </patternFill>
    </fill>
    <fill>
      <patternFill patternType="solid">
        <fgColor rgb="FF305496"/>
        <bgColor rgb="FFFFFFFF"/>
        <extLst>
          <ext uri="smNativeData">
            <pm:shade xmlns:pm="smNativeData" id="1752044485" type="1" fgLvl="100" fgClr="00305496" bgLvl="0" bgClr="00FFFFFF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52044485" type="1" fgLvl="100" fgClr="008EA9DB" bgLvl="0" bgClr="00FFFFFF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52044485" type="1" fgLvl="100" fgClr="00D9E1F2" bgLvl="0" bgClr="00FFFFFF"/>
          </ext>
        </extLst>
      </patternFill>
    </fill>
    <fill>
      <patternFill patternType="solid">
        <fgColor rgb="FFFDE9D9"/>
        <bgColor rgb="FFFFFFFF"/>
        <extLst>
          <ext uri="smNativeData">
            <pm:shade xmlns:pm="smNativeData" id="1752044485" type="1" fgLvl="100" fgClr="00FDE9D9" bgLvl="0" bgClr="00000000"/>
          </ext>
        </extLst>
      </patternFill>
    </fill>
    <fill>
      <patternFill patternType="solid">
        <fgColor rgb="FFFDE9D9"/>
        <bgColor rgb="FFFFFFFF"/>
        <extLst>
          <ext uri="smNativeData">
            <pm:shade xmlns:pm="smNativeData" id="1752044485" type="1" fgLvl="100" fgClr="00FDE9D9" bgLvl="0" bgClr="00FFFFFF"/>
          </ext>
        </extLst>
      </patternFill>
    </fill>
    <fill>
      <patternFill patternType="solid">
        <fgColor rgb="FFFDE9D9"/>
        <bgColor rgb="FFFFFFFF"/>
        <extLst>
          <ext uri="smNativeData">
            <pm:shade xmlns:pm="smNativeData" id="1752044485" type="1" fgLvl="100" fgClr="00FDE9D9" bgLvl="0" bgClr="00FFFFFF"/>
          </ext>
        </extLst>
      </patternFill>
    </fill>
    <fill>
      <patternFill patternType="solid">
        <fgColor rgb="FFFDE9D9"/>
        <bgColor rgb="FFFFFFFF"/>
        <extLst>
          <ext uri="smNativeData">
            <pm:shade xmlns:pm="smNativeData" id="1752044485" type="1" fgLvl="100" fgClr="00FDE9D9" bgLvl="0" bgClr="00FFFFFF"/>
          </ext>
        </extLst>
      </patternFill>
    </fill>
    <fill>
      <patternFill patternType="solid">
        <fgColor rgb="FFF0F0E0"/>
        <bgColor rgb="FFFFFFFF"/>
        <extLst>
          <ext uri="smNativeData">
            <pm:shade xmlns:pm="smNativeData" id="1752044485" type="1" fgLvl="12" fgClr="007F7F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52044485" type="1" fgLvl="12" fgClr="00FF00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52044485" type="1" fgLvl="12" fgClr="00FF00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52044485" type="1" fgLvl="12" fgClr="00FF0000" bgLvl="88" bgClr="00FFFFFF"/>
          </ext>
        </extLst>
      </patternFill>
    </fill>
    <fill>
      <patternFill patternType="solid">
        <fgColor rgb="FFF0F0E0"/>
        <bgColor rgb="FFFFFFFF"/>
        <extLst>
          <ext uri="smNativeData">
            <pm:shade xmlns:pm="smNativeData" id="1752044485" type="1" fgLvl="12" fgClr="007F7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52044485" type="1" fgLvl="12" fgClr="00FFFF00" bgLvl="88" bgClr="00FFFFFF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52044485" type="1" fgLvl="85" fgClr="00FFFFFF" bgLvl="15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2044485" type="1" fgLvl="100" fgClr="00FFFFFF" bgLvl="100" bgClr="00000000"/>
          </ext>
        </extLst>
      </patternFill>
    </fill>
    <fill>
      <patternFill patternType="solid">
        <fgColor rgb="FF010180"/>
        <bgColor rgb="FFFFFFFF"/>
        <extLst>
          <ext uri="smNativeData">
            <pm:shade xmlns:pm="smNativeData" id="1752044485" type="1" fgLvl="50" fgClr="000000FF" bgLvl="50" bgClr="00000000"/>
          </ext>
        </extLst>
      </patternFill>
    </fill>
    <fill>
      <patternFill patternType="solid">
        <fgColor rgb="FF0000A3"/>
        <bgColor rgb="FFFFFFFF"/>
        <extLst>
          <ext uri="smNativeData">
            <pm:shade xmlns:pm="smNativeData" id="1752044485" type="1" fgLvl="64" fgClr="000000FF" bgLvl="36" bgClr="00000000"/>
          </ext>
        </extLst>
      </patternFill>
    </fill>
    <fill>
      <patternFill patternType="solid">
        <fgColor rgb="FFD100D1"/>
        <bgColor rgb="FFFFFFFF"/>
        <extLst>
          <ext uri="smNativeData">
            <pm:shade xmlns:pm="smNativeData" id="1752044485" type="1" fgLvl="82" fgClr="00FF00FF" bgLvl="18" bgClr="00000000"/>
          </ext>
        </extLst>
      </patternFill>
    </fill>
    <fill>
      <patternFill patternType="solid">
        <fgColor rgb="FFFF00FF"/>
        <bgColor rgb="FFFFFFFF"/>
        <extLst>
          <ext uri="smNativeData">
            <pm:shade xmlns:pm="smNativeData" id="1752044485" type="1" fgLvl="100" fgClr="00FF00FF" bgLvl="0" bgClr="00000000"/>
          </ext>
        </extLst>
      </patternFill>
    </fill>
    <fill>
      <patternFill patternType="solid">
        <fgColor rgb="FFFF3DFF"/>
        <bgColor rgb="FFFFFFFF"/>
        <extLst>
          <ext uri="smNativeData">
            <pm:shade xmlns:pm="smNativeData" id="1752044485" type="1" fgLvl="76" fgClr="00FF00FF" bgLvl="24" bgClr="00FFFFFF"/>
          </ext>
        </extLst>
      </patternFill>
    </fill>
    <fill>
      <patternFill patternType="solid">
        <fgColor rgb="FFFF5CFF"/>
        <bgColor rgb="FFFFFFFF"/>
        <extLst>
          <ext uri="smNativeData">
            <pm:shade xmlns:pm="smNativeData" id="1752044485" type="1" fgLvl="64" fgClr="00FF00FF" bgLvl="36" bgClr="00FFFFFF"/>
          </ext>
        </extLst>
      </patternFill>
    </fill>
    <fill>
      <patternFill patternType="solid">
        <fgColor rgb="FFCECE9E"/>
        <bgColor rgb="FFFFFFFF"/>
        <extLst>
          <ext uri="smNativeData">
            <pm:shade xmlns:pm="smNativeData" id="1752044485" type="1" fgLvl="38" fgClr="007F7F00" bgLvl="62" bgClr="00FFFFFF"/>
          </ext>
        </extLst>
      </patternFill>
    </fill>
    <fill>
      <patternFill patternType="solid">
        <fgColor rgb="FF333333"/>
        <bgColor rgb="FFFFFFFF"/>
        <extLst>
          <ext uri="smNativeData">
            <pm:shade xmlns:pm="smNativeData" id="1752044485" type="1" fgLvl="100" fgClr="00333333" bgLvl="0" bgClr="00FFFFFF"/>
          </ext>
        </extLst>
      </patternFill>
    </fill>
    <fill>
      <patternFill patternType="solid">
        <fgColor rgb="FF4D4D4D"/>
        <bgColor rgb="FFFFFFFF"/>
        <extLst>
          <ext uri="smNativeData">
            <pm:shade xmlns:pm="smNativeData" id="1752044485" type="1" fgLvl="100" fgClr="004D4D4D" bgLvl="0" bgClr="00FFFFFF"/>
          </ext>
        </extLst>
      </patternFill>
    </fill>
  </fills>
  <borders count="4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2044485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2044485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2044485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2044485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2044485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2044485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2044485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</cellStyleXfs>
  <cellXfs count="63">
    <xf numFmtId="0" fontId="0" fillId="0" borderId="0" xfId="0"/>
    <xf numFmtId="0" fontId="0" fillId="0" borderId="0" xfId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0" fillId="3" borderId="2" xfId="0" applyFill="1"/>
    <xf numFmtId="0" fontId="0" fillId="4" borderId="3" xfId="0" applyFill="1" applyBorder="1"/>
    <xf numFmtId="0" fontId="0" fillId="0" borderId="4" xfId="0" applyFill="1" applyBorder="1"/>
    <xf numFmtId="0" fontId="0" fillId="6" borderId="5" xfId="0" applyFill="1" applyBorder="1"/>
    <xf numFmtId="0" fontId="0" fillId="7" borderId="6" xfId="0" applyFill="1"/>
    <xf numFmtId="0" fontId="6" fillId="8" borderId="7" xfId="0" applyFont="1" applyFill="1"/>
    <xf numFmtId="0" fontId="4" fillId="0" borderId="0" xfId="0" applyFont="1"/>
    <xf numFmtId="0" fontId="4" fillId="0" borderId="8" xfId="0" applyFont="1" applyFill="1" applyBorder="1"/>
    <xf numFmtId="0" fontId="4" fillId="0" borderId="1" xfId="0" applyFont="1" applyFill="1" applyBorder="1"/>
    <xf numFmtId="0" fontId="4" fillId="0" borderId="9" xfId="0" applyFont="1" applyFill="1" applyBorder="1"/>
    <xf numFmtId="0" fontId="4" fillId="0" borderId="10" xfId="0" applyFont="1" applyFill="1" applyBorder="1"/>
    <xf numFmtId="0" fontId="4" fillId="0" borderId="11" xfId="0" applyFont="1" applyFill="1" applyBorder="1"/>
    <xf numFmtId="0" fontId="4" fillId="13" borderId="12" xfId="0" applyFont="1" applyFill="1" applyAlignment="1">
      <alignment horizontal="right"/>
    </xf>
    <xf numFmtId="0" fontId="7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14" borderId="13" xfId="0" applyFont="1" applyFill="1" applyAlignment="1">
      <alignment horizontal="right"/>
    </xf>
    <xf numFmtId="0" fontId="4" fillId="15" borderId="14" xfId="0" applyFont="1" applyFill="1" applyAlignment="1">
      <alignment horizontal="right"/>
    </xf>
    <xf numFmtId="0" fontId="4" fillId="16" borderId="15" xfId="0" applyFont="1" applyFill="1" applyAlignment="1">
      <alignment horizontal="right"/>
    </xf>
    <xf numFmtId="0" fontId="4" fillId="17" borderId="16" xfId="0" applyFont="1" applyFill="1" applyAlignment="1">
      <alignment horizontal="right"/>
    </xf>
    <xf numFmtId="0" fontId="4" fillId="18" borderId="17" xfId="0" applyFont="1" applyFill="1" applyAlignment="1">
      <alignment horizontal="right"/>
    </xf>
    <xf numFmtId="0" fontId="4" fillId="19" borderId="18" xfId="0" applyFont="1" applyFill="1" applyAlignment="1">
      <alignment horizontal="right"/>
    </xf>
    <xf numFmtId="0" fontId="4" fillId="20" borderId="19" xfId="0" applyFont="1" applyFill="1" applyAlignment="1">
      <alignment horizontal="right"/>
    </xf>
    <xf numFmtId="0" fontId="4" fillId="21" borderId="20" xfId="0" applyFont="1" applyFill="1" applyAlignment="1">
      <alignment horizontal="right"/>
    </xf>
    <xf numFmtId="0" fontId="8" fillId="0" borderId="0" xfId="0" applyFont="1"/>
    <xf numFmtId="166" fontId="4" fillId="0" borderId="0" xfId="0" applyNumberFormat="1" applyFont="1" applyAlignment="1">
      <alignment horizontal="right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" applyFont="1"/>
    <xf numFmtId="0" fontId="3" fillId="22" borderId="21" xfId="0" applyFont="1" applyFill="1"/>
    <xf numFmtId="0" fontId="0" fillId="23" borderId="22" xfId="0" applyFill="1"/>
    <xf numFmtId="0" fontId="0" fillId="23" borderId="22" xfId="0" applyFill="1" applyAlignment="1">
      <alignment horizontal="center"/>
    </xf>
    <xf numFmtId="0" fontId="3" fillId="23" borderId="22" xfId="0" applyFont="1" applyFill="1" applyAlignment="1">
      <alignment horizontal="center"/>
    </xf>
    <xf numFmtId="0" fontId="3" fillId="23" borderId="22" xfId="0" applyFont="1" applyFill="1"/>
    <xf numFmtId="0" fontId="0" fillId="24" borderId="23" xfId="0" applyFill="1" applyBorder="1"/>
    <xf numFmtId="0" fontId="0" fillId="25" borderId="24" xfId="0" applyFill="1" applyBorder="1"/>
    <xf numFmtId="0" fontId="0" fillId="22" borderId="21" xfId="0" applyFill="1"/>
    <xf numFmtId="0" fontId="2" fillId="0" borderId="0" xfId="0" applyFont="1" applyAlignment="1">
      <alignment horizontal="left"/>
    </xf>
    <xf numFmtId="0" fontId="4" fillId="26" borderId="25" xfId="0" applyFont="1" applyFill="1" applyBorder="1" applyAlignment="1">
      <alignment horizontal="center"/>
    </xf>
    <xf numFmtId="0" fontId="4" fillId="27" borderId="26" xfId="0" applyFont="1" applyFill="1" applyBorder="1" applyAlignment="1">
      <alignment horizontal="center"/>
    </xf>
    <xf numFmtId="0" fontId="1" fillId="28" borderId="27" xfId="0" applyFont="1" applyFill="1" applyBorder="1"/>
    <xf numFmtId="0" fontId="1" fillId="29" borderId="28" xfId="0" applyFont="1" applyFill="1" applyBorder="1"/>
    <xf numFmtId="0" fontId="0" fillId="30" borderId="29" xfId="0" applyFill="1"/>
    <xf numFmtId="0" fontId="9" fillId="31" borderId="30" xfId="0" applyFont="1" applyFill="1" applyAlignment="1">
      <alignment horizontal="center"/>
    </xf>
    <xf numFmtId="0" fontId="9" fillId="32" borderId="31" xfId="0" applyFont="1" applyFill="1" applyAlignment="1">
      <alignment horizontal="center"/>
    </xf>
    <xf numFmtId="0" fontId="9" fillId="0" borderId="0" xfId="0" applyFont="1"/>
    <xf numFmtId="49" fontId="9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/>
  </cellXfs>
  <cellStyles count="2">
    <cellStyle name="Normal" xfId="0" builtinId="0" customBuiltin="1"/>
    <cellStyle name="Обычный_Table S4. Samples information" xfId="1"/>
  </cellStyles>
  <tableStyles count="0"/>
  <extLst>
    <ext uri="smNativeData">
      <pm:charStyles xmlns:pm="smNativeData" id="1752044485" count="1">
        <pm:charStyle name="Normal" fontId="0" Id="1"/>
      </pm:charStyles>
      <pm:colors xmlns:pm="smNativeData" id="1752044485" count="46">
        <pm:color name="Color 24" rgb="222222"/>
        <pm:color name="Color 25" rgb="4A86E8"/>
        <pm:color name="Color 26" rgb="4285F4"/>
        <pm:color name="Color 27" rgb="D8E5F8"/>
        <pm:color name="Color 28" rgb="833C0C"/>
        <pm:color name="Color 29" rgb="C65911"/>
        <pm:color name="Color 30" rgb="F4AF82"/>
        <pm:color name="Color 31" rgb="F8CAAB"/>
        <pm:color name="Color 32" rgb="FEF5F0"/>
        <pm:color name="Color 33" rgb="203764"/>
        <pm:color name="Color 34" rgb="305496"/>
        <pm:color name="Color 35" rgb="8EA9DB"/>
        <pm:color name="Color 36" rgb="D9E1F2"/>
        <pm:color name="Color 37" rgb="FDE9D9"/>
        <pm:color name="Color 38" rgb="018080"/>
        <pm:color name="Color 39" rgb="00A3A3"/>
        <pm:color name="Color 40" rgb="00D1D1"/>
        <pm:color name="Color 41" rgb="3DFFFF"/>
        <pm:color name="Color 42" rgb="5CFFFF"/>
        <pm:color name="Color 43" rgb="9EFFFF"/>
        <pm:color name="Color 44" rgb="E0FFFF"/>
        <pm:color name="Color 45" rgb="F0F0E0"/>
        <pm:color name="Color 46" rgb="018001"/>
        <pm:color name="Color 47" rgb="00A300"/>
        <pm:color name="Color 48" rgb="00D100"/>
        <pm:color name="Color 49" rgb="9E9EFF"/>
        <pm:color name="Color 50" rgb="FF9EFF"/>
        <pm:color name="Color 51" rgb="FFFFE0"/>
        <pm:color name="Color 52" rgb="FFE0E0"/>
        <pm:color name="Color 53" rgb="A300A3"/>
        <pm:color name="Color 54" rgb="686800"/>
        <pm:color name="Color 55" rgb="B5B5B5"/>
        <pm:color name="Color 56" rgb="D9D9D9"/>
        <pm:color name="Color 57" rgb="010180"/>
        <pm:color name="Color 58" rgb="515100"/>
        <pm:color name="Color 59" rgb="474747"/>
        <pm:color name="Color 60" rgb="6B6B6B"/>
        <pm:color name="Color 61" rgb="FFE0FF"/>
        <pm:color name="Color 62" rgb="E0E0FF"/>
        <pm:color name="Color 63" rgb="E0FFE0"/>
        <pm:color name="Color 64" rgb="3DFF3D"/>
        <pm:color name="Color 65" rgb="5C5CFF"/>
        <pm:color name="Color 66" rgb="919191"/>
        <pm:color name="Color 67" rgb="9E9E3D"/>
        <pm:color name="Color 68" rgb="ADAD5C"/>
        <pm:color name="Color 69" rgb="CECE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E33"/>
  <sheetViews>
    <sheetView view="normal" zoomScale="110" workbookViewId="0">
      <selection activeCell="A2" sqref="A2"/>
    </sheetView>
  </sheetViews>
  <sheetFormatPr baseColWidth="12" defaultColWidth="12.666667" defaultRowHeight="15.75" customHeight="1"/>
  <cols>
    <col min="1" max="1" width="37.441441" customWidth="1"/>
    <col min="3" max="3" width="25.828829" customWidth="1"/>
    <col min="5" max="5" width="15.531532" customWidth="1"/>
  </cols>
  <sheetData>
    <row r="1" spans="1:1" ht="15.75" customHeight="1">
      <c r="A1" s="2" t="s">
        <v>0</v>
      </c>
    </row>
    <row r="2" spans="1:1" ht="15.75" customHeight="1">
      <c r="A2" s="2"/>
    </row>
    <row r="3" spans="1:5" ht="15.75" customHeight="1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ht="15.75" customHeight="1">
      <c r="A4" t="s">
        <v>6</v>
      </c>
      <c r="B4" s="3" t="n">
        <v>1000</v>
      </c>
      <c r="C4" t="s">
        <v>7</v>
      </c>
      <c r="D4" s="4" t="s">
        <v>8</v>
      </c>
      <c r="E4" s="3" t="n">
        <v>7</v>
      </c>
    </row>
    <row r="5" spans="1:5" ht="15.75" customHeight="1">
      <c r="A5" t="s">
        <v>6</v>
      </c>
      <c r="B5" s="3" t="n">
        <v>650</v>
      </c>
      <c r="C5" t="s">
        <v>9</v>
      </c>
      <c r="D5" s="4" t="s">
        <v>8</v>
      </c>
      <c r="E5" s="3" t="n">
        <v>6</v>
      </c>
    </row>
    <row r="6" spans="1:5" ht="15.75" customHeight="1">
      <c r="A6" t="s">
        <v>6</v>
      </c>
      <c r="B6" s="3" t="n">
        <v>250</v>
      </c>
      <c r="C6" t="s">
        <v>10</v>
      </c>
      <c r="D6" s="4" t="s">
        <v>8</v>
      </c>
      <c r="E6" s="3" t="n">
        <v>5</v>
      </c>
    </row>
    <row r="7" spans="1:5" ht="15.75" customHeight="1">
      <c r="A7" t="s">
        <v>6</v>
      </c>
      <c r="B7" s="3" t="n">
        <v>100</v>
      </c>
      <c r="C7" t="s">
        <v>11</v>
      </c>
      <c r="D7" s="4" t="s">
        <v>8</v>
      </c>
      <c r="E7" s="3" t="n">
        <v>5</v>
      </c>
    </row>
    <row r="8" spans="1:5" ht="15.75" customHeight="1">
      <c r="A8" t="s">
        <v>6</v>
      </c>
      <c r="B8" s="3" t="n">
        <v>25</v>
      </c>
      <c r="C8" t="s">
        <v>12</v>
      </c>
      <c r="D8" s="4" t="s">
        <v>8</v>
      </c>
      <c r="E8" s="3" t="n">
        <v>4</v>
      </c>
    </row>
    <row r="9" spans="1:5" ht="15.75" customHeight="1">
      <c r="A9" t="s">
        <v>6</v>
      </c>
      <c r="B9" s="3" t="n">
        <v>1000</v>
      </c>
      <c r="C9" t="s">
        <v>7</v>
      </c>
      <c r="D9" s="4" t="s">
        <v>13</v>
      </c>
      <c r="E9" s="3" t="n">
        <v>6</v>
      </c>
    </row>
    <row r="10" spans="1:5" ht="15.75" customHeight="1">
      <c r="A10" t="s">
        <v>6</v>
      </c>
      <c r="B10" s="3" t="n">
        <v>650</v>
      </c>
      <c r="C10" t="s">
        <v>9</v>
      </c>
      <c r="D10" s="4" t="s">
        <v>13</v>
      </c>
      <c r="E10" s="3" t="n">
        <v>4</v>
      </c>
    </row>
    <row r="11" spans="1:5" ht="15.75" customHeight="1">
      <c r="A11" t="s">
        <v>6</v>
      </c>
      <c r="B11" s="3" t="n">
        <v>250</v>
      </c>
      <c r="C11" t="s">
        <v>10</v>
      </c>
      <c r="D11" s="4" t="s">
        <v>13</v>
      </c>
      <c r="E11" s="3" t="n">
        <v>5</v>
      </c>
    </row>
    <row r="12" spans="1:5" ht="15.75" customHeight="1">
      <c r="A12" t="s">
        <v>6</v>
      </c>
      <c r="B12" s="3" t="n">
        <v>100</v>
      </c>
      <c r="C12" t="s">
        <v>11</v>
      </c>
      <c r="D12" s="4" t="s">
        <v>13</v>
      </c>
      <c r="E12" s="3" t="n">
        <v>5</v>
      </c>
    </row>
    <row r="13" spans="1:5" ht="15.75" customHeight="1">
      <c r="A13" t="s">
        <v>14</v>
      </c>
      <c r="B13" s="3" t="n">
        <v>1000</v>
      </c>
      <c r="C13" t="s">
        <v>15</v>
      </c>
      <c r="D13" s="4" t="s">
        <v>8</v>
      </c>
      <c r="E13" s="3" t="n">
        <v>1</v>
      </c>
    </row>
    <row r="14" spans="1:5" ht="15.75" customHeight="1">
      <c r="A14" t="s">
        <v>14</v>
      </c>
      <c r="B14" s="3" t="n">
        <v>550</v>
      </c>
      <c r="C14" t="s">
        <v>16</v>
      </c>
      <c r="D14" s="4" t="s">
        <v>8</v>
      </c>
      <c r="E14" s="3" t="n">
        <v>1</v>
      </c>
    </row>
    <row r="15" spans="1:5" ht="15.75" customHeight="1">
      <c r="A15" t="s">
        <v>14</v>
      </c>
      <c r="B15" s="3" t="n">
        <v>150</v>
      </c>
      <c r="C15" t="s">
        <v>17</v>
      </c>
      <c r="D15" s="4" t="s">
        <v>8</v>
      </c>
      <c r="E15" s="3" t="n">
        <v>3</v>
      </c>
    </row>
    <row r="16" spans="1:5" ht="15.75" customHeight="1">
      <c r="A16" t="s">
        <v>14</v>
      </c>
      <c r="B16" s="3" t="n">
        <v>1000</v>
      </c>
      <c r="C16" t="s">
        <v>15</v>
      </c>
      <c r="D16" s="4" t="s">
        <v>13</v>
      </c>
      <c r="E16" s="3" t="n">
        <v>5</v>
      </c>
    </row>
    <row r="17" spans="1:5" ht="15.75" customHeight="1">
      <c r="A17" t="s">
        <v>14</v>
      </c>
      <c r="B17" s="3" t="n">
        <v>150</v>
      </c>
      <c r="C17" t="s">
        <v>17</v>
      </c>
      <c r="D17" s="4" t="s">
        <v>13</v>
      </c>
      <c r="E17" s="3" t="n">
        <v>4</v>
      </c>
    </row>
    <row r="18" spans="1:5" ht="15.75" customHeight="1">
      <c r="A18" t="s">
        <v>18</v>
      </c>
      <c r="B18" s="3" t="n">
        <v>150</v>
      </c>
      <c r="C18" t="s">
        <v>19</v>
      </c>
      <c r="D18" s="4" t="s">
        <v>8</v>
      </c>
      <c r="E18" s="3" t="n">
        <v>5</v>
      </c>
    </row>
    <row r="19" spans="1:5" ht="15.75" customHeight="1">
      <c r="A19" t="s">
        <v>18</v>
      </c>
      <c r="B19" s="3" t="n">
        <v>300</v>
      </c>
      <c r="C19" t="s">
        <v>20</v>
      </c>
      <c r="D19" s="4" t="s">
        <v>8</v>
      </c>
      <c r="E19" s="3" t="n">
        <v>4</v>
      </c>
    </row>
    <row r="20" spans="1:5" ht="15.75" customHeight="1">
      <c r="A20" t="s">
        <v>18</v>
      </c>
      <c r="B20" s="3" t="n">
        <v>750</v>
      </c>
      <c r="C20" t="s">
        <v>21</v>
      </c>
      <c r="D20" s="4" t="s">
        <v>8</v>
      </c>
      <c r="E20" s="3" t="n">
        <v>1</v>
      </c>
    </row>
    <row r="21" spans="1:5" ht="15.75" customHeight="1">
      <c r="A21" t="s">
        <v>18</v>
      </c>
      <c r="B21" s="3" t="n">
        <v>300</v>
      </c>
      <c r="C21" t="s">
        <v>20</v>
      </c>
      <c r="D21" s="4" t="s">
        <v>13</v>
      </c>
      <c r="E21" s="3" t="n">
        <v>6</v>
      </c>
    </row>
    <row r="22" spans="1:5" ht="15.75" customHeight="1">
      <c r="A22" t="s">
        <v>18</v>
      </c>
      <c r="B22" s="3" t="n">
        <v>750</v>
      </c>
      <c r="C22" t="s">
        <v>21</v>
      </c>
      <c r="D22" s="4" t="s">
        <v>13</v>
      </c>
      <c r="E22" s="3" t="n">
        <v>5</v>
      </c>
    </row>
    <row r="23" spans="1:5" ht="15.75" customHeight="1">
      <c r="A23" t="s">
        <v>22</v>
      </c>
      <c r="B23" s="3" t="n">
        <v>300</v>
      </c>
      <c r="C23" t="s">
        <v>23</v>
      </c>
      <c r="D23" s="4" t="s">
        <v>8</v>
      </c>
      <c r="E23" s="3" t="n">
        <v>4</v>
      </c>
    </row>
    <row r="24" spans="1:5" ht="15.75" customHeight="1">
      <c r="A24" t="s">
        <v>22</v>
      </c>
      <c r="B24" s="3" t="n">
        <v>300</v>
      </c>
      <c r="C24" t="s">
        <v>23</v>
      </c>
      <c r="D24" s="4" t="s">
        <v>13</v>
      </c>
      <c r="E24" s="3" t="n">
        <v>3</v>
      </c>
    </row>
    <row r="25" spans="1:5" ht="15.75" customHeight="1">
      <c r="A25" t="s">
        <v>24</v>
      </c>
      <c r="B25" s="3" t="n">
        <v>311</v>
      </c>
      <c r="C25" t="s">
        <v>25</v>
      </c>
      <c r="D25" s="4" t="s">
        <v>8</v>
      </c>
      <c r="E25" s="3" t="n">
        <v>4</v>
      </c>
    </row>
    <row r="26" spans="1:5" ht="15.75" customHeight="1">
      <c r="A26" t="s">
        <v>24</v>
      </c>
      <c r="B26" s="3" t="n">
        <v>311</v>
      </c>
      <c r="C26" t="s">
        <v>25</v>
      </c>
      <c r="D26" s="4" t="s">
        <v>13</v>
      </c>
      <c r="E26" s="3" t="n">
        <v>4</v>
      </c>
    </row>
    <row r="27" spans="1:5" ht="15.75" customHeight="1">
      <c r="A27" t="s">
        <v>26</v>
      </c>
      <c r="B27" s="3" t="n">
        <v>200</v>
      </c>
      <c r="C27" t="s">
        <v>27</v>
      </c>
      <c r="D27" s="4" t="s">
        <v>8</v>
      </c>
      <c r="E27" s="3" t="n">
        <v>12</v>
      </c>
    </row>
    <row r="28" spans="1:5" ht="15.75" customHeight="1">
      <c r="A28" t="s">
        <v>26</v>
      </c>
      <c r="B28" s="3" t="n">
        <v>200</v>
      </c>
      <c r="C28" t="s">
        <v>27</v>
      </c>
      <c r="D28" s="4" t="s">
        <v>13</v>
      </c>
      <c r="E28" s="3" t="n">
        <v>4</v>
      </c>
    </row>
    <row r="29" spans="1:5" ht="15.75" customHeight="1">
      <c r="A29" t="s">
        <v>28</v>
      </c>
      <c r="B29" s="3" t="n">
        <v>40</v>
      </c>
      <c r="C29" t="s">
        <v>29</v>
      </c>
      <c r="D29" s="4" t="s">
        <v>8</v>
      </c>
      <c r="E29" s="3" t="n">
        <v>2</v>
      </c>
    </row>
    <row r="30" spans="1:5" ht="15.75" customHeight="1">
      <c r="A30" t="s">
        <v>28</v>
      </c>
      <c r="B30" s="3" t="n">
        <v>80</v>
      </c>
      <c r="C30" t="s">
        <v>30</v>
      </c>
      <c r="D30" s="4" t="s">
        <v>13</v>
      </c>
      <c r="E30" s="3" t="n">
        <v>2</v>
      </c>
    </row>
    <row r="31" spans="1:5" ht="15.75" customHeight="1">
      <c r="A31" t="s">
        <v>31</v>
      </c>
      <c r="B31" s="3" t="n">
        <v>200</v>
      </c>
      <c r="C31" t="s">
        <v>32</v>
      </c>
      <c r="D31" s="4" t="s">
        <v>13</v>
      </c>
      <c r="E31" s="3" t="n">
        <v>2</v>
      </c>
    </row>
    <row r="32" spans="1:5" ht="15.75" customHeight="1">
      <c r="A32" t="s">
        <v>33</v>
      </c>
      <c r="B32" s="3" t="n">
        <v>50</v>
      </c>
      <c r="C32" t="s">
        <v>34</v>
      </c>
      <c r="D32" s="4" t="s">
        <v>8</v>
      </c>
      <c r="E32" s="3" t="n">
        <v>2</v>
      </c>
    </row>
    <row r="33" spans="1:5" ht="15.75" customHeight="1">
      <c r="A33" t="s">
        <v>33</v>
      </c>
      <c r="B33" s="3" t="n">
        <v>100</v>
      </c>
      <c r="C33" t="s">
        <v>35</v>
      </c>
      <c r="D33" s="4" t="s">
        <v>13</v>
      </c>
      <c r="E33" s="3" t="n">
        <v>2</v>
      </c>
    </row>
  </sheetData>
  <printOptions>
    <extLst>
      <ext uri="smNativeData">
        <pm:pageFlags xmlns:pm="smNativeData" id="1752044485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2044485" l="56" r="56" t="56" b="56" borderId="0" fillId="0" vertical="0"/>
        <pm:footer xmlns:pm="smNativeData" id="1752044485" l="56" r="56" t="56" b="56" borderId="0" fillId="0" vertical="2"/>
      </ext>
    </extLst>
  </headerFooter>
  <extLst>
    <ext uri="smNativeData">
      <pm:sheetPrefs xmlns:pm="smNativeData" day="175204448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M14"/>
  <sheetViews>
    <sheetView view="normal" workbookViewId="0">
      <selection activeCell="A2" sqref="A2:XFD2"/>
    </sheetView>
  </sheetViews>
  <sheetFormatPr baseColWidth="12" defaultColWidth="12.666667" defaultRowHeight="15.75" customHeight="1"/>
  <cols>
    <col min="1" max="1" width="15.774775" customWidth="1"/>
    <col min="2" max="2" width="30.333333" customWidth="1"/>
    <col min="5" max="5" width="5.882883" customWidth="1"/>
    <col min="6" max="6" width="19.108108" customWidth="1"/>
  </cols>
  <sheetData>
    <row r="1" spans="1:1" ht="15.75" customHeight="1">
      <c r="A1" s="51" t="s">
        <v>36</v>
      </c>
    </row>
    <row r="2" spans="1:1" ht="15.75" customHeight="1">
      <c r="A2" s="51"/>
    </row>
    <row r="3" spans="1:13" ht="15.75" customHeight="1">
      <c r="A3" s="5" t="s">
        <v>37</v>
      </c>
      <c r="B3" s="5" t="s">
        <v>38</v>
      </c>
      <c r="C3" s="5" t="s">
        <v>4</v>
      </c>
      <c r="D3" s="5" t="s">
        <v>39</v>
      </c>
      <c r="E3" s="5" t="s">
        <v>40</v>
      </c>
      <c r="F3" s="5" t="s">
        <v>41</v>
      </c>
      <c r="G3" s="5"/>
      <c r="H3" s="5"/>
      <c r="I3" s="5"/>
      <c r="J3" s="5"/>
      <c r="K3" s="5"/>
      <c r="L3" s="5"/>
      <c r="M3" s="5"/>
    </row>
    <row r="4" spans="1:6" ht="15.75" customHeight="1">
      <c r="A4" s="5" t="s">
        <v>42</v>
      </c>
      <c r="B4" s="5" t="s">
        <v>43</v>
      </c>
      <c r="C4" s="6" t="s">
        <v>13</v>
      </c>
      <c r="D4" s="5" t="s">
        <v>44</v>
      </c>
      <c r="E4" s="5" t="s">
        <v>45</v>
      </c>
      <c r="F4" s="5" t="s">
        <v>46</v>
      </c>
    </row>
    <row r="5" spans="1:6" ht="15.75" customHeight="1">
      <c r="A5" s="5" t="s">
        <v>47</v>
      </c>
      <c r="B5" s="5" t="s">
        <v>48</v>
      </c>
      <c r="C5" s="6" t="s">
        <v>8</v>
      </c>
      <c r="D5" s="5" t="s">
        <v>49</v>
      </c>
      <c r="E5" s="5" t="s">
        <v>45</v>
      </c>
      <c r="F5" s="5" t="s">
        <v>46</v>
      </c>
    </row>
    <row r="6" spans="1:6" ht="15.75" customHeight="1">
      <c r="A6" s="5" t="s">
        <v>50</v>
      </c>
      <c r="B6" s="5" t="s">
        <v>51</v>
      </c>
      <c r="C6" s="6" t="s">
        <v>8</v>
      </c>
      <c r="D6" s="5" t="s">
        <v>44</v>
      </c>
      <c r="E6" s="5" t="s">
        <v>45</v>
      </c>
      <c r="F6" s="5" t="s">
        <v>52</v>
      </c>
    </row>
    <row r="7" spans="1:6" ht="15.75" customHeight="1">
      <c r="A7" s="5" t="s">
        <v>53</v>
      </c>
      <c r="B7" s="5" t="s">
        <v>54</v>
      </c>
      <c r="C7" s="5" t="s">
        <v>55</v>
      </c>
      <c r="D7" s="5" t="s">
        <v>49</v>
      </c>
      <c r="E7" s="5" t="s">
        <v>45</v>
      </c>
      <c r="F7" s="5" t="s">
        <v>46</v>
      </c>
    </row>
    <row r="8" spans="1:6" ht="15.75" customHeight="1">
      <c r="A8" s="5" t="s">
        <v>56</v>
      </c>
      <c r="B8" s="5" t="s">
        <v>57</v>
      </c>
      <c r="C8" s="6" t="s">
        <v>8</v>
      </c>
      <c r="D8" s="5" t="s">
        <v>44</v>
      </c>
      <c r="E8" s="5" t="s">
        <v>45</v>
      </c>
      <c r="F8" s="5" t="s">
        <v>52</v>
      </c>
    </row>
    <row r="9" spans="1:6" ht="15.75" customHeight="1">
      <c r="A9" s="5" t="s">
        <v>58</v>
      </c>
      <c r="B9" s="5" t="s">
        <v>59</v>
      </c>
      <c r="C9" s="6" t="s">
        <v>13</v>
      </c>
      <c r="D9" s="5" t="s">
        <v>44</v>
      </c>
      <c r="E9" s="5" t="s">
        <v>45</v>
      </c>
      <c r="F9" s="5" t="s">
        <v>60</v>
      </c>
    </row>
    <row r="10" spans="1:6" ht="15.75" customHeight="1">
      <c r="A10" s="5" t="s">
        <v>61</v>
      </c>
      <c r="B10" s="5" t="s">
        <v>62</v>
      </c>
      <c r="C10" s="5" t="s">
        <v>55</v>
      </c>
      <c r="D10" s="5" t="s">
        <v>63</v>
      </c>
      <c r="E10" s="5" t="s">
        <v>64</v>
      </c>
      <c r="F10" s="5" t="s">
        <v>65</v>
      </c>
    </row>
    <row r="11" spans="1:6" ht="15.75" customHeight="1">
      <c r="A11" s="5" t="s">
        <v>66</v>
      </c>
      <c r="B11" s="5" t="s">
        <v>67</v>
      </c>
      <c r="C11" s="5" t="s">
        <v>55</v>
      </c>
      <c r="D11" s="5" t="s">
        <v>63</v>
      </c>
      <c r="E11" s="5" t="s">
        <v>64</v>
      </c>
      <c r="F11" s="5" t="s">
        <v>65</v>
      </c>
    </row>
    <row r="12" spans="1:6" ht="15.75" customHeight="1">
      <c r="A12" s="5" t="s">
        <v>68</v>
      </c>
      <c r="B12" s="5" t="s">
        <v>69</v>
      </c>
      <c r="C12" s="5" t="s">
        <v>55</v>
      </c>
      <c r="D12" s="5" t="s">
        <v>63</v>
      </c>
      <c r="E12" s="5" t="s">
        <v>64</v>
      </c>
      <c r="F12" s="5" t="s">
        <v>65</v>
      </c>
    </row>
    <row r="13" spans="1:6" ht="15.75" customHeight="1">
      <c r="A13" s="5" t="s">
        <v>70</v>
      </c>
      <c r="B13" s="5" t="s">
        <v>71</v>
      </c>
      <c r="C13" s="5" t="s">
        <v>55</v>
      </c>
      <c r="D13" s="5" t="s">
        <v>63</v>
      </c>
      <c r="E13" s="5" t="s">
        <v>72</v>
      </c>
      <c r="F13" s="5" t="s">
        <v>73</v>
      </c>
    </row>
    <row r="14" spans="1:6" ht="15.75" customHeight="1">
      <c r="A14" s="5" t="s">
        <v>74</v>
      </c>
      <c r="B14" s="5" t="s">
        <v>75</v>
      </c>
      <c r="C14" s="5" t="s">
        <v>55</v>
      </c>
      <c r="D14" s="5" t="s">
        <v>63</v>
      </c>
      <c r="E14" s="5" t="s">
        <v>72</v>
      </c>
      <c r="F14" s="5" t="s">
        <v>73</v>
      </c>
    </row>
  </sheetData>
  <mergeCells count="1">
    <mergeCell ref="A1:F1"/>
  </mergeCells>
  <printOptions>
    <extLst>
      <ext uri="smNativeData">
        <pm:pageFlags xmlns:pm="smNativeData" id="1752044485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2044485" l="56" r="56" t="56" b="56" borderId="0" fillId="0" vertical="0"/>
        <pm:footer xmlns:pm="smNativeData" id="1752044485" l="56" r="56" t="56" b="56" borderId="0" fillId="0" vertical="2"/>
      </ext>
    </extLst>
  </headerFooter>
  <extLst>
    <ext uri="smNativeData">
      <pm:sheetPrefs xmlns:pm="smNativeData" day="175204448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AI154"/>
  <sheetViews>
    <sheetView view="normal" zoomScale="110" workbookViewId="0">
      <pane xSplit="2" ySplit="3" topLeftCell="C96" activePane="bottomRight" state="frozen"/>
      <selection pane="bottomRight" activeCell="B109" sqref="B109"/>
    </sheetView>
  </sheetViews>
  <sheetFormatPr baseColWidth="12" defaultColWidth="12.666667" defaultRowHeight="15.75" customHeight="1"/>
  <cols>
    <col min="1" max="1" width="20.108108" customWidth="1" style="0"/>
    <col min="2" max="2" width="24.882883" customWidth="1"/>
    <col min="3" max="3" width="26.108108" customWidth="1"/>
    <col min="4" max="4" width="19.108108" customWidth="1"/>
    <col min="7" max="7" width="11.333333" customWidth="1"/>
    <col min="8" max="8" width="13.333333" customWidth="1"/>
    <col min="9" max="9" width="15.666667" customWidth="1"/>
    <col min="10" max="10" width="8.000000" customWidth="1"/>
    <col min="11" max="11" width="12.666667" style="0"/>
    <col min="12" max="12" width="7.441441" customWidth="1"/>
    <col min="13" max="13" width="7.108108" customWidth="1"/>
    <col min="14" max="15" width="6.882883" customWidth="1"/>
    <col min="16" max="16" width="7.108108" customWidth="1"/>
    <col min="17" max="17" width="7.441441" customWidth="1"/>
    <col min="18" max="19" width="8.216216" customWidth="1"/>
    <col min="20" max="20" width="7.666667" customWidth="1"/>
    <col min="21" max="22" width="6.882883" customWidth="1"/>
    <col min="23" max="23" width="7.108108" customWidth="1"/>
    <col min="24" max="24" width="7.333333" customWidth="1"/>
    <col min="25" max="25" width="8.216216" customWidth="1"/>
    <col min="26" max="26" width="7.666667" customWidth="1"/>
    <col min="27" max="28" width="6.882883" customWidth="1"/>
    <col min="29" max="30" width="7.108108" customWidth="1"/>
    <col min="31" max="33" width="7.441441" customWidth="1"/>
    <col min="34" max="34" width="6.108108" customWidth="1"/>
  </cols>
  <sheetData>
    <row r="1" spans="1:34" ht="15.75" customHeight="1">
      <c r="A1" s="2" t="s">
        <v>76</v>
      </c>
      <c r="B1" s="2"/>
      <c r="C1"/>
      <c r="D1" s="7"/>
      <c r="E1" s="8"/>
      <c r="F1" s="8"/>
      <c r="G1" s="7"/>
      <c r="H1" s="8"/>
      <c r="I1" s="7"/>
      <c r="J1" s="7"/>
      <c r="K1" s="7"/>
      <c r="L1" s="7"/>
      <c r="AH1" s="5"/>
    </row>
    <row r="2" spans="2:34" ht="15.75" customHeight="1">
      <c r="B2" s="7"/>
      <c r="C2" s="7"/>
      <c r="D2" s="7"/>
      <c r="E2" s="8"/>
      <c r="F2" s="8"/>
      <c r="G2" s="7"/>
      <c r="H2" s="8"/>
      <c r="I2" s="7"/>
      <c r="J2" s="7"/>
      <c r="K2" s="7"/>
      <c r="L2" s="7"/>
      <c r="M2" t="s">
        <v>77</v>
      </c>
      <c r="S2" s="9"/>
      <c r="T2" t="s">
        <v>78</v>
      </c>
      <c r="Y2" s="9"/>
      <c r="Z2" t="s">
        <v>79</v>
      </c>
      <c r="AH2" s="5" t="s">
        <v>80</v>
      </c>
    </row>
    <row r="3" spans="1:34" ht="15.75" customHeight="1">
      <c r="A3" s="7" t="s">
        <v>81</v>
      </c>
      <c r="B3" s="7" t="s">
        <v>82</v>
      </c>
      <c r="C3" s="7" t="s">
        <v>83</v>
      </c>
      <c r="D3" s="7" t="s">
        <v>84</v>
      </c>
      <c r="E3" s="8" t="s">
        <v>85</v>
      </c>
      <c r="F3" s="8" t="s">
        <v>86</v>
      </c>
      <c r="G3" s="7" t="s">
        <v>87</v>
      </c>
      <c r="H3" s="8" t="s">
        <v>88</v>
      </c>
      <c r="I3" s="7" t="s">
        <v>89</v>
      </c>
      <c r="J3" s="7" t="s">
        <v>90</v>
      </c>
      <c r="K3" s="7" t="s">
        <v>91</v>
      </c>
      <c r="L3" s="7" t="s">
        <v>39</v>
      </c>
      <c r="M3" s="5" t="s">
        <v>42</v>
      </c>
      <c r="N3" s="5" t="s">
        <v>47</v>
      </c>
      <c r="O3" s="5" t="s">
        <v>50</v>
      </c>
      <c r="P3" s="5" t="s">
        <v>53</v>
      </c>
      <c r="Q3" s="5" t="s">
        <v>56</v>
      </c>
      <c r="R3" s="5" t="s">
        <v>61</v>
      </c>
      <c r="S3" s="5" t="s">
        <v>68</v>
      </c>
      <c r="T3" s="5" t="s">
        <v>42</v>
      </c>
      <c r="U3" s="5" t="s">
        <v>47</v>
      </c>
      <c r="V3" s="5" t="s">
        <v>50</v>
      </c>
      <c r="W3" s="5" t="s">
        <v>53</v>
      </c>
      <c r="X3" s="5" t="s">
        <v>56</v>
      </c>
      <c r="Y3" s="10" t="s">
        <v>58</v>
      </c>
      <c r="Z3" s="5" t="s">
        <v>42</v>
      </c>
      <c r="AA3" s="5" t="s">
        <v>47</v>
      </c>
      <c r="AB3" s="5" t="s">
        <v>50</v>
      </c>
      <c r="AC3" s="5" t="s">
        <v>53</v>
      </c>
      <c r="AD3" s="5" t="s">
        <v>56</v>
      </c>
      <c r="AE3" s="10" t="s">
        <v>58</v>
      </c>
      <c r="AF3" s="5" t="s">
        <v>61</v>
      </c>
      <c r="AG3" s="5" t="s">
        <v>68</v>
      </c>
      <c r="AH3" s="5"/>
    </row>
    <row r="4" spans="1:34" ht="15.75" customHeight="1">
      <c r="A4" t="s">
        <v>92</v>
      </c>
      <c r="B4" s="4" t="s">
        <v>93</v>
      </c>
      <c r="C4" s="4" t="s">
        <v>94</v>
      </c>
      <c r="D4" s="4" t="s">
        <v>95</v>
      </c>
      <c r="E4" s="11" t="n">
        <v>1000</v>
      </c>
      <c r="F4" s="11" t="s">
        <v>96</v>
      </c>
      <c r="G4" s="4" t="s">
        <v>97</v>
      </c>
      <c r="H4" s="11" t="n">
        <v>2023</v>
      </c>
      <c r="I4" s="4" t="s">
        <v>98</v>
      </c>
      <c r="J4" s="4" t="s">
        <v>14</v>
      </c>
      <c r="K4" s="4" t="s">
        <v>15</v>
      </c>
      <c r="L4" s="4" t="s">
        <v>49</v>
      </c>
      <c r="M4" s="12"/>
      <c r="P4" s="12"/>
      <c r="S4" s="9"/>
      <c r="T4" s="12"/>
      <c r="W4" s="12"/>
      <c r="Y4" s="9"/>
      <c r="Z4" s="12"/>
      <c r="AE4" s="12"/>
      <c r="AH4" s="3" t="n">
        <v>675</v>
      </c>
    </row>
    <row r="5" spans="1:34" ht="15.75" customHeight="1">
      <c r="A5" t="s">
        <v>99</v>
      </c>
      <c r="B5" s="4" t="s">
        <v>100</v>
      </c>
      <c r="C5" s="4" t="s">
        <v>94</v>
      </c>
      <c r="D5" s="4" t="s">
        <v>101</v>
      </c>
      <c r="E5" s="11" t="n">
        <v>1000</v>
      </c>
      <c r="F5" s="11" t="s">
        <v>96</v>
      </c>
      <c r="G5" s="4" t="s">
        <v>97</v>
      </c>
      <c r="H5" s="11" t="n">
        <v>2023</v>
      </c>
      <c r="I5" s="4" t="s">
        <v>98</v>
      </c>
      <c r="J5" s="4" t="s">
        <v>14</v>
      </c>
      <c r="K5" s="4" t="s">
        <v>15</v>
      </c>
      <c r="L5" s="4" t="s">
        <v>49</v>
      </c>
      <c r="M5" s="12"/>
      <c r="P5" s="12"/>
      <c r="S5" s="9"/>
      <c r="T5" s="12"/>
      <c r="W5" s="12"/>
      <c r="Y5" s="9"/>
      <c r="Z5" s="12"/>
      <c r="AE5" s="12"/>
      <c r="AH5" s="3" t="n">
        <v>656</v>
      </c>
    </row>
    <row r="6" spans="1:34" ht="15.75" customHeight="1">
      <c r="A6" t="s">
        <v>102</v>
      </c>
      <c r="B6" s="4" t="s">
        <v>103</v>
      </c>
      <c r="C6" s="4" t="s">
        <v>94</v>
      </c>
      <c r="D6" s="4" t="s">
        <v>104</v>
      </c>
      <c r="E6" s="11" t="n">
        <v>1000</v>
      </c>
      <c r="F6" s="11" t="s">
        <v>96</v>
      </c>
      <c r="G6" s="4" t="s">
        <v>97</v>
      </c>
      <c r="H6" s="11" t="n">
        <v>2023</v>
      </c>
      <c r="I6" s="4" t="s">
        <v>98</v>
      </c>
      <c r="J6" s="4" t="s">
        <v>14</v>
      </c>
      <c r="K6" s="4" t="s">
        <v>15</v>
      </c>
      <c r="L6" s="4" t="s">
        <v>49</v>
      </c>
      <c r="M6" s="12"/>
      <c r="P6" s="12"/>
      <c r="S6" s="9"/>
      <c r="T6" s="12"/>
      <c r="W6" s="12"/>
      <c r="Y6" s="9"/>
      <c r="Z6" s="12"/>
      <c r="AC6" s="12"/>
      <c r="AE6" s="12"/>
      <c r="AH6" s="3" t="n">
        <v>834</v>
      </c>
    </row>
    <row r="7" spans="1:34" ht="15.75" customHeight="1">
      <c r="A7" t="s">
        <v>105</v>
      </c>
      <c r="B7" s="4" t="s">
        <v>106</v>
      </c>
      <c r="C7" s="4" t="s">
        <v>94</v>
      </c>
      <c r="D7" s="4" t="s">
        <v>107</v>
      </c>
      <c r="E7" s="11" t="n">
        <v>1000</v>
      </c>
      <c r="F7" s="11" t="s">
        <v>96</v>
      </c>
      <c r="G7" s="4" t="s">
        <v>97</v>
      </c>
      <c r="H7" s="11" t="n">
        <v>2023</v>
      </c>
      <c r="I7" s="4" t="s">
        <v>98</v>
      </c>
      <c r="J7" s="4" t="s">
        <v>14</v>
      </c>
      <c r="K7" s="4" t="s">
        <v>15</v>
      </c>
      <c r="L7" s="4" t="s">
        <v>49</v>
      </c>
      <c r="M7" s="12"/>
      <c r="P7" s="12"/>
      <c r="S7" s="9"/>
      <c r="T7" s="12"/>
      <c r="W7" s="12"/>
      <c r="Y7" s="9"/>
      <c r="Z7" s="12"/>
      <c r="AC7" s="12"/>
      <c r="AE7" s="12"/>
      <c r="AH7" s="3" t="n">
        <v>804</v>
      </c>
    </row>
    <row r="8" spans="1:34" ht="15.75" customHeight="1">
      <c r="A8" t="s">
        <v>108</v>
      </c>
      <c r="B8" s="4" t="s">
        <v>109</v>
      </c>
      <c r="C8" s="4" t="s">
        <v>94</v>
      </c>
      <c r="D8" s="4" t="s">
        <v>110</v>
      </c>
      <c r="E8" s="11" t="n">
        <v>1000</v>
      </c>
      <c r="F8" s="11" t="s">
        <v>96</v>
      </c>
      <c r="G8" s="4" t="s">
        <v>97</v>
      </c>
      <c r="H8" s="11" t="n">
        <v>2023</v>
      </c>
      <c r="I8" s="4" t="s">
        <v>98</v>
      </c>
      <c r="J8" s="4" t="s">
        <v>14</v>
      </c>
      <c r="K8" s="4" t="s">
        <v>15</v>
      </c>
      <c r="L8" s="4" t="s">
        <v>49</v>
      </c>
      <c r="M8" s="12"/>
      <c r="P8" s="12"/>
      <c r="S8" s="9"/>
      <c r="Y8" s="9"/>
      <c r="Z8" s="12"/>
      <c r="AC8" s="12"/>
      <c r="AH8" s="3" t="n">
        <v>851</v>
      </c>
    </row>
    <row r="9" spans="1:34" ht="15.75" customHeight="1">
      <c r="A9" s="42" t="s">
        <v>111</v>
      </c>
      <c r="B9" s="4" t="s">
        <v>112</v>
      </c>
      <c r="C9" s="4" t="s">
        <v>113</v>
      </c>
      <c r="D9" s="4" t="s">
        <v>114</v>
      </c>
      <c r="E9" s="11" t="n">
        <v>1000</v>
      </c>
      <c r="F9" s="11" t="s">
        <v>96</v>
      </c>
      <c r="G9" s="4" t="s">
        <v>97</v>
      </c>
      <c r="H9" s="11" t="n">
        <v>2023</v>
      </c>
      <c r="I9" s="4" t="s">
        <v>98</v>
      </c>
      <c r="J9" s="4" t="s">
        <v>14</v>
      </c>
      <c r="K9" s="4" t="s">
        <v>15</v>
      </c>
      <c r="L9" s="4" t="s">
        <v>49</v>
      </c>
      <c r="N9" s="12"/>
      <c r="P9" s="12"/>
      <c r="S9" s="9"/>
      <c r="V9" s="12"/>
      <c r="X9" s="12"/>
      <c r="Y9" s="9"/>
      <c r="AA9" s="12"/>
      <c r="AB9" s="12"/>
      <c r="AC9" s="12"/>
      <c r="AD9" s="12"/>
      <c r="AH9" s="3" t="n">
        <v>879</v>
      </c>
    </row>
    <row r="10" spans="1:34" ht="15.75" customHeight="1">
      <c r="A10" s="42" t="s">
        <v>115</v>
      </c>
      <c r="B10" s="4" t="s">
        <v>116</v>
      </c>
      <c r="C10" s="4" t="s">
        <v>113</v>
      </c>
      <c r="D10" s="4" t="s">
        <v>117</v>
      </c>
      <c r="E10" s="11" t="n">
        <v>550</v>
      </c>
      <c r="F10" s="11" t="s">
        <v>96</v>
      </c>
      <c r="G10" s="4" t="s">
        <v>97</v>
      </c>
      <c r="H10" s="11" t="n">
        <v>2023</v>
      </c>
      <c r="I10" s="4" t="s">
        <v>98</v>
      </c>
      <c r="J10" s="4" t="s">
        <v>14</v>
      </c>
      <c r="K10" s="4" t="s">
        <v>16</v>
      </c>
      <c r="L10" s="4" t="s">
        <v>49</v>
      </c>
      <c r="N10" s="12"/>
      <c r="P10" s="12"/>
      <c r="S10" s="9"/>
      <c r="Y10" s="9"/>
      <c r="AA10" s="12"/>
      <c r="AC10" s="12"/>
      <c r="AH10" s="3" t="n">
        <v>889</v>
      </c>
    </row>
    <row r="11" spans="1:34" ht="15.75" customHeight="1">
      <c r="A11" t="s">
        <v>118</v>
      </c>
      <c r="B11" s="4" t="s">
        <v>119</v>
      </c>
      <c r="C11" s="4" t="s">
        <v>94</v>
      </c>
      <c r="D11" s="4" t="s">
        <v>120</v>
      </c>
      <c r="E11" s="11" t="n">
        <v>150</v>
      </c>
      <c r="F11" s="11" t="s">
        <v>96</v>
      </c>
      <c r="G11" s="4" t="s">
        <v>97</v>
      </c>
      <c r="H11" s="11" t="n">
        <v>2023</v>
      </c>
      <c r="I11" s="4" t="s">
        <v>98</v>
      </c>
      <c r="J11" s="4" t="s">
        <v>14</v>
      </c>
      <c r="K11" s="4" t="s">
        <v>17</v>
      </c>
      <c r="L11" s="4" t="s">
        <v>49</v>
      </c>
      <c r="M11" s="12"/>
      <c r="P11" s="12"/>
      <c r="S11" s="9"/>
      <c r="T11" s="12"/>
      <c r="W11" s="12"/>
      <c r="Y11" s="9"/>
      <c r="Z11" s="12"/>
      <c r="AC11" s="12"/>
      <c r="AH11" s="3" t="n">
        <v>855</v>
      </c>
    </row>
    <row r="12" spans="1:34" ht="15.75" customHeight="1">
      <c r="A12" t="s">
        <v>121</v>
      </c>
      <c r="B12" s="4" t="s">
        <v>122</v>
      </c>
      <c r="C12" s="4" t="s">
        <v>94</v>
      </c>
      <c r="D12" s="4" t="s">
        <v>123</v>
      </c>
      <c r="E12" s="11" t="n">
        <v>150</v>
      </c>
      <c r="F12" s="11" t="s">
        <v>96</v>
      </c>
      <c r="G12" s="4" t="s">
        <v>97</v>
      </c>
      <c r="H12" s="11" t="n">
        <v>2023</v>
      </c>
      <c r="I12" s="4" t="s">
        <v>98</v>
      </c>
      <c r="J12" s="4" t="s">
        <v>14</v>
      </c>
      <c r="K12" s="4" t="s">
        <v>17</v>
      </c>
      <c r="L12" s="4" t="s">
        <v>49</v>
      </c>
      <c r="M12" s="12"/>
      <c r="P12" s="12"/>
      <c r="S12" s="9"/>
      <c r="Y12" s="9"/>
      <c r="Z12" s="12"/>
      <c r="AC12" s="12"/>
      <c r="AH12" s="3" t="n">
        <v>842</v>
      </c>
    </row>
    <row r="13" spans="1:34" ht="15.75" customHeight="1">
      <c r="A13" s="4" t="s">
        <v>124</v>
      </c>
      <c r="B13" s="4" t="s">
        <v>125</v>
      </c>
      <c r="C13" s="4" t="s">
        <v>94</v>
      </c>
      <c r="D13" s="4" t="s">
        <v>126</v>
      </c>
      <c r="E13" s="11" t="n">
        <v>150</v>
      </c>
      <c r="F13" s="11" t="s">
        <v>96</v>
      </c>
      <c r="G13" s="4" t="s">
        <v>97</v>
      </c>
      <c r="H13" s="11" t="n">
        <v>2023</v>
      </c>
      <c r="I13" s="4" t="s">
        <v>98</v>
      </c>
      <c r="J13" s="4" t="s">
        <v>14</v>
      </c>
      <c r="K13" s="4" t="s">
        <v>17</v>
      </c>
      <c r="L13" s="4" t="s">
        <v>49</v>
      </c>
      <c r="M13" s="12"/>
      <c r="P13" s="12"/>
      <c r="S13" s="9"/>
      <c r="T13" s="12"/>
      <c r="Y13" s="13"/>
      <c r="Z13" s="12"/>
      <c r="AE13" s="12"/>
      <c r="AH13" s="3" t="n">
        <v>674</v>
      </c>
    </row>
    <row r="14" spans="1:34" ht="15.75" customHeight="1">
      <c r="A14" s="4" t="s">
        <v>127</v>
      </c>
      <c r="B14" s="4" t="s">
        <v>128</v>
      </c>
      <c r="C14" s="4" t="s">
        <v>94</v>
      </c>
      <c r="D14" s="4" t="s">
        <v>129</v>
      </c>
      <c r="E14" s="11" t="n">
        <v>150</v>
      </c>
      <c r="F14" s="11" t="s">
        <v>96</v>
      </c>
      <c r="G14" s="4" t="s">
        <v>97</v>
      </c>
      <c r="H14" s="11" t="n">
        <v>2023</v>
      </c>
      <c r="I14" s="4" t="s">
        <v>98</v>
      </c>
      <c r="J14" s="4" t="s">
        <v>14</v>
      </c>
      <c r="K14" s="4" t="s">
        <v>17</v>
      </c>
      <c r="L14" s="4" t="s">
        <v>49</v>
      </c>
      <c r="M14" s="12"/>
      <c r="P14" s="12"/>
      <c r="S14" s="9"/>
      <c r="T14" s="12"/>
      <c r="Y14" s="13"/>
      <c r="Z14" s="12"/>
      <c r="AE14" s="12"/>
      <c r="AH14" s="3" t="n">
        <v>674</v>
      </c>
    </row>
    <row r="15" spans="1:34" ht="15.75" customHeight="1">
      <c r="A15" s="1" t="s">
        <v>130</v>
      </c>
      <c r="B15" s="4" t="s">
        <v>131</v>
      </c>
      <c r="C15" s="4" t="s">
        <v>113</v>
      </c>
      <c r="D15" s="4" t="s">
        <v>132</v>
      </c>
      <c r="E15" s="11" t="n">
        <v>150</v>
      </c>
      <c r="F15" s="11" t="s">
        <v>96</v>
      </c>
      <c r="G15" s="4" t="s">
        <v>97</v>
      </c>
      <c r="H15" s="11" t="n">
        <v>2023</v>
      </c>
      <c r="I15" s="4" t="s">
        <v>98</v>
      </c>
      <c r="J15" s="4" t="s">
        <v>14</v>
      </c>
      <c r="K15" s="4" t="s">
        <v>17</v>
      </c>
      <c r="L15" s="4" t="s">
        <v>49</v>
      </c>
      <c r="N15" s="12"/>
      <c r="P15" s="12"/>
      <c r="S15" s="9"/>
      <c r="Y15" s="9"/>
      <c r="AA15" s="12"/>
      <c r="AC15" s="12"/>
      <c r="AH15" s="3" t="n">
        <v>881</v>
      </c>
    </row>
    <row r="16" spans="1:34" ht="15.75" customHeight="1">
      <c r="A16" s="1" t="s">
        <v>133</v>
      </c>
      <c r="B16" s="4" t="s">
        <v>134</v>
      </c>
      <c r="C16" s="4" t="s">
        <v>113</v>
      </c>
      <c r="D16" s="4" t="s">
        <v>135</v>
      </c>
      <c r="E16" s="11" t="n">
        <v>150</v>
      </c>
      <c r="F16" s="11" t="s">
        <v>96</v>
      </c>
      <c r="G16" s="4" t="s">
        <v>97</v>
      </c>
      <c r="H16" s="11" t="n">
        <v>2023</v>
      </c>
      <c r="I16" s="4" t="s">
        <v>98</v>
      </c>
      <c r="J16" s="4" t="s">
        <v>14</v>
      </c>
      <c r="K16" s="4" t="s">
        <v>17</v>
      </c>
      <c r="L16" s="4" t="s">
        <v>49</v>
      </c>
      <c r="N16" s="12"/>
      <c r="P16" s="12"/>
      <c r="S16" s="9"/>
      <c r="Y16" s="9"/>
      <c r="AA16" s="12"/>
      <c r="AC16" s="12"/>
      <c r="AH16" s="3" t="n">
        <v>889</v>
      </c>
    </row>
    <row r="17" spans="1:34" ht="15.75" customHeight="1">
      <c r="A17" s="1" t="s">
        <v>136</v>
      </c>
      <c r="B17" s="4" t="s">
        <v>137</v>
      </c>
      <c r="C17" s="4" t="s">
        <v>113</v>
      </c>
      <c r="D17" s="4" t="s">
        <v>138</v>
      </c>
      <c r="E17" s="11" t="n">
        <v>150</v>
      </c>
      <c r="F17" s="11" t="s">
        <v>96</v>
      </c>
      <c r="G17" s="4" t="s">
        <v>97</v>
      </c>
      <c r="H17" s="11" t="n">
        <v>2023</v>
      </c>
      <c r="I17" s="4" t="s">
        <v>98</v>
      </c>
      <c r="J17" s="4" t="s">
        <v>14</v>
      </c>
      <c r="K17" s="4" t="s">
        <v>17</v>
      </c>
      <c r="L17" s="4" t="s">
        <v>49</v>
      </c>
      <c r="N17" s="12"/>
      <c r="P17" s="12"/>
      <c r="S17" s="9"/>
      <c r="T17" s="14"/>
      <c r="Y17" s="9"/>
      <c r="AA17" s="12"/>
      <c r="AC17" s="12"/>
      <c r="AH17" s="3" t="n">
        <v>883</v>
      </c>
    </row>
    <row r="18" spans="1:34" ht="15.75" customHeight="1">
      <c r="A18" s="42" t="s">
        <v>139</v>
      </c>
      <c r="B18" s="4" t="s">
        <v>140</v>
      </c>
      <c r="C18" s="4" t="s">
        <v>113</v>
      </c>
      <c r="D18" s="4" t="s">
        <v>141</v>
      </c>
      <c r="E18" s="11" t="n">
        <v>150</v>
      </c>
      <c r="F18" s="11" t="s">
        <v>96</v>
      </c>
      <c r="G18" s="4" t="s">
        <v>142</v>
      </c>
      <c r="H18" s="11" t="n">
        <v>2020</v>
      </c>
      <c r="I18" s="4" t="s">
        <v>98</v>
      </c>
      <c r="J18" s="4" t="s">
        <v>18</v>
      </c>
      <c r="K18" s="4" t="s">
        <v>19</v>
      </c>
      <c r="L18" s="4" t="s">
        <v>49</v>
      </c>
      <c r="N18" s="12"/>
      <c r="P18" s="12"/>
      <c r="T18" s="14"/>
      <c r="Y18" s="9"/>
      <c r="AA18" s="12"/>
      <c r="AC18" s="12"/>
      <c r="AH18" t="n">
        <v>888</v>
      </c>
    </row>
    <row r="19" spans="1:34" ht="15.75" customHeight="1">
      <c r="A19" s="42" t="s">
        <v>143</v>
      </c>
      <c r="B19" s="4" t="s">
        <v>144</v>
      </c>
      <c r="C19" s="4" t="s">
        <v>113</v>
      </c>
      <c r="D19" s="4" t="s">
        <v>145</v>
      </c>
      <c r="E19" s="11" t="n">
        <v>150</v>
      </c>
      <c r="F19" s="11" t="s">
        <v>96</v>
      </c>
      <c r="G19" s="4" t="s">
        <v>142</v>
      </c>
      <c r="H19" s="11" t="n">
        <v>2020</v>
      </c>
      <c r="I19" s="4" t="s">
        <v>98</v>
      </c>
      <c r="J19" s="4" t="s">
        <v>18</v>
      </c>
      <c r="K19" s="4" t="s">
        <v>19</v>
      </c>
      <c r="L19" s="4" t="s">
        <v>49</v>
      </c>
      <c r="N19" s="12"/>
      <c r="P19" s="12"/>
      <c r="T19" s="14"/>
      <c r="Y19" s="9"/>
      <c r="AA19" s="12"/>
      <c r="AC19" s="12"/>
      <c r="AH19" s="3" t="n">
        <v>890</v>
      </c>
    </row>
    <row r="20" spans="1:34" ht="15.75" customHeight="1">
      <c r="A20" s="42" t="s">
        <v>146</v>
      </c>
      <c r="B20" s="4" t="s">
        <v>147</v>
      </c>
      <c r="C20" s="4" t="s">
        <v>113</v>
      </c>
      <c r="D20" s="4" t="s">
        <v>148</v>
      </c>
      <c r="E20" s="11" t="n">
        <v>150</v>
      </c>
      <c r="F20" s="11" t="s">
        <v>96</v>
      </c>
      <c r="G20" s="4" t="s">
        <v>142</v>
      </c>
      <c r="H20" s="11" t="n">
        <v>2020</v>
      </c>
      <c r="I20" s="4" t="s">
        <v>98</v>
      </c>
      <c r="J20" s="4" t="s">
        <v>18</v>
      </c>
      <c r="K20" s="4" t="s">
        <v>19</v>
      </c>
      <c r="L20" s="4" t="s">
        <v>49</v>
      </c>
      <c r="N20" s="12"/>
      <c r="P20" s="12"/>
      <c r="T20" s="14"/>
      <c r="Y20" s="9"/>
      <c r="AA20" s="12"/>
      <c r="AC20" s="12"/>
      <c r="AH20" s="3" t="n">
        <v>844</v>
      </c>
    </row>
    <row r="21" spans="1:34" ht="15.75" customHeight="1">
      <c r="A21" s="42" t="s">
        <v>149</v>
      </c>
      <c r="B21" s="4" t="s">
        <v>150</v>
      </c>
      <c r="C21" s="4" t="s">
        <v>113</v>
      </c>
      <c r="D21" s="4" t="s">
        <v>151</v>
      </c>
      <c r="E21" s="11" t="n">
        <v>150</v>
      </c>
      <c r="F21" s="11" t="s">
        <v>96</v>
      </c>
      <c r="G21" s="4" t="s">
        <v>142</v>
      </c>
      <c r="H21" s="11" t="n">
        <v>2020</v>
      </c>
      <c r="I21" s="4" t="s">
        <v>98</v>
      </c>
      <c r="J21" s="4" t="s">
        <v>18</v>
      </c>
      <c r="K21" s="4" t="s">
        <v>19</v>
      </c>
      <c r="L21" s="4" t="s">
        <v>49</v>
      </c>
      <c r="N21" s="12"/>
      <c r="P21" s="12"/>
      <c r="T21" s="14"/>
      <c r="Y21" s="9"/>
      <c r="AA21" s="12"/>
      <c r="AC21" s="12"/>
      <c r="AH21" s="3" t="n">
        <v>889</v>
      </c>
    </row>
    <row r="22" spans="1:34" ht="15.75" customHeight="1">
      <c r="A22" s="42" t="s">
        <v>152</v>
      </c>
      <c r="B22" s="4" t="s">
        <v>153</v>
      </c>
      <c r="C22" s="4" t="s">
        <v>113</v>
      </c>
      <c r="D22" s="4" t="s">
        <v>154</v>
      </c>
      <c r="E22" s="11" t="n">
        <v>300</v>
      </c>
      <c r="F22" s="11" t="s">
        <v>96</v>
      </c>
      <c r="G22" s="4" t="s">
        <v>142</v>
      </c>
      <c r="H22" s="11" t="n">
        <v>2020</v>
      </c>
      <c r="I22" s="4" t="s">
        <v>98</v>
      </c>
      <c r="J22" s="4" t="s">
        <v>18</v>
      </c>
      <c r="K22" s="4" t="s">
        <v>20</v>
      </c>
      <c r="L22" s="4" t="s">
        <v>49</v>
      </c>
      <c r="N22" s="12"/>
      <c r="P22" s="12"/>
      <c r="T22" s="14"/>
      <c r="Y22" s="9"/>
      <c r="AA22" s="12"/>
      <c r="AC22" s="12"/>
      <c r="AH22" s="3" t="n">
        <v>889</v>
      </c>
    </row>
    <row r="23" spans="1:34" ht="15.75" customHeight="1">
      <c r="A23" s="42" t="s">
        <v>155</v>
      </c>
      <c r="B23" s="4" t="s">
        <v>156</v>
      </c>
      <c r="C23" s="4" t="s">
        <v>113</v>
      </c>
      <c r="D23" s="4" t="s">
        <v>157</v>
      </c>
      <c r="E23" s="11" t="n">
        <v>300</v>
      </c>
      <c r="F23" s="11" t="s">
        <v>96</v>
      </c>
      <c r="G23" s="4" t="s">
        <v>142</v>
      </c>
      <c r="H23" s="11" t="n">
        <v>2020</v>
      </c>
      <c r="I23" s="4" t="s">
        <v>98</v>
      </c>
      <c r="J23" s="4" t="s">
        <v>18</v>
      </c>
      <c r="K23" s="4" t="s">
        <v>20</v>
      </c>
      <c r="L23" s="4" t="s">
        <v>49</v>
      </c>
      <c r="N23" s="12"/>
      <c r="P23" s="12"/>
      <c r="T23" s="14"/>
      <c r="Y23" s="9"/>
      <c r="AA23" s="12"/>
      <c r="AC23" s="12"/>
      <c r="AH23" s="3" t="n">
        <v>889</v>
      </c>
    </row>
    <row r="24" spans="1:34" ht="15.75" customHeight="1">
      <c r="A24" s="42" t="s">
        <v>158</v>
      </c>
      <c r="B24" s="4" t="s">
        <v>159</v>
      </c>
      <c r="C24" s="4" t="s">
        <v>113</v>
      </c>
      <c r="D24" s="4" t="s">
        <v>160</v>
      </c>
      <c r="E24" s="11" t="n">
        <v>300</v>
      </c>
      <c r="F24" s="11" t="s">
        <v>96</v>
      </c>
      <c r="G24" s="4" t="s">
        <v>142</v>
      </c>
      <c r="H24" s="11" t="n">
        <v>2020</v>
      </c>
      <c r="I24" s="4" t="s">
        <v>98</v>
      </c>
      <c r="J24" s="4" t="s">
        <v>18</v>
      </c>
      <c r="K24" s="4" t="s">
        <v>20</v>
      </c>
      <c r="L24" s="4" t="s">
        <v>49</v>
      </c>
      <c r="N24" s="12"/>
      <c r="P24" s="12"/>
      <c r="T24" s="14"/>
      <c r="Y24" s="9"/>
      <c r="AA24" s="12"/>
      <c r="AC24" s="12"/>
      <c r="AH24" s="3" t="n">
        <v>889</v>
      </c>
    </row>
    <row r="25" spans="1:34" ht="15.75" customHeight="1">
      <c r="A25" s="42" t="s">
        <v>161</v>
      </c>
      <c r="B25" s="4" t="s">
        <v>162</v>
      </c>
      <c r="C25" s="4" t="s">
        <v>113</v>
      </c>
      <c r="D25" s="4" t="s">
        <v>163</v>
      </c>
      <c r="E25" s="11" t="n">
        <v>300</v>
      </c>
      <c r="F25" s="11" t="s">
        <v>96</v>
      </c>
      <c r="G25" s="4" t="s">
        <v>142</v>
      </c>
      <c r="H25" s="11" t="n">
        <v>2020</v>
      </c>
      <c r="I25" s="4" t="s">
        <v>98</v>
      </c>
      <c r="J25" s="4" t="s">
        <v>18</v>
      </c>
      <c r="K25" s="4" t="s">
        <v>20</v>
      </c>
      <c r="L25" s="4" t="s">
        <v>49</v>
      </c>
      <c r="N25" s="12"/>
      <c r="P25" s="12"/>
      <c r="T25" s="14"/>
      <c r="Y25" s="9"/>
      <c r="AA25" s="12"/>
      <c r="AC25" s="12"/>
      <c r="AH25" s="3" t="n">
        <v>887</v>
      </c>
    </row>
    <row r="26" spans="1:34" ht="15.75" customHeight="1">
      <c r="A26" s="42" t="s">
        <v>164</v>
      </c>
      <c r="B26" s="4" t="s">
        <v>165</v>
      </c>
      <c r="C26" s="4" t="s">
        <v>113</v>
      </c>
      <c r="D26" s="4" t="s">
        <v>166</v>
      </c>
      <c r="E26" s="11" t="n">
        <v>750</v>
      </c>
      <c r="F26" s="11" t="s">
        <v>96</v>
      </c>
      <c r="G26" s="4" t="s">
        <v>142</v>
      </c>
      <c r="H26" s="11" t="n">
        <v>2020</v>
      </c>
      <c r="I26" s="4" t="s">
        <v>98</v>
      </c>
      <c r="J26" s="4" t="s">
        <v>18</v>
      </c>
      <c r="K26" s="4" t="s">
        <v>21</v>
      </c>
      <c r="L26" s="4" t="s">
        <v>49</v>
      </c>
      <c r="N26" s="12"/>
      <c r="P26" s="12"/>
      <c r="T26" s="14"/>
      <c r="Y26" s="9"/>
      <c r="AA26" s="12"/>
      <c r="AC26" s="12"/>
      <c r="AH26" s="3" t="n">
        <v>887</v>
      </c>
    </row>
    <row r="27" spans="1:34" ht="15.75" customHeight="1">
      <c r="A27" s="4" t="s">
        <v>167</v>
      </c>
      <c r="B27" s="4" t="s">
        <v>168</v>
      </c>
      <c r="C27" s="4" t="s">
        <v>94</v>
      </c>
      <c r="D27" s="4" t="s">
        <v>169</v>
      </c>
      <c r="E27" s="11" t="n">
        <v>750</v>
      </c>
      <c r="F27" s="11" t="s">
        <v>96</v>
      </c>
      <c r="G27" s="4" t="s">
        <v>142</v>
      </c>
      <c r="H27" s="11" t="n">
        <v>2020</v>
      </c>
      <c r="I27" s="4" t="s">
        <v>98</v>
      </c>
      <c r="J27" s="4" t="s">
        <v>18</v>
      </c>
      <c r="K27" s="4" t="s">
        <v>21</v>
      </c>
      <c r="L27" s="4" t="s">
        <v>49</v>
      </c>
      <c r="M27" s="12"/>
      <c r="P27" s="12"/>
      <c r="T27" s="14"/>
      <c r="Y27" s="9"/>
      <c r="Z27" s="12"/>
      <c r="AC27" s="12"/>
      <c r="AH27" s="3" t="n">
        <v>845</v>
      </c>
    </row>
    <row r="28" spans="1:34" ht="15.75" customHeight="1">
      <c r="A28" s="4" t="s">
        <v>170</v>
      </c>
      <c r="B28" s="4" t="s">
        <v>171</v>
      </c>
      <c r="C28" s="4" t="s">
        <v>94</v>
      </c>
      <c r="D28" s="4" t="s">
        <v>172</v>
      </c>
      <c r="E28" s="11" t="n">
        <v>750</v>
      </c>
      <c r="F28" s="11" t="s">
        <v>96</v>
      </c>
      <c r="G28" s="4" t="s">
        <v>142</v>
      </c>
      <c r="H28" s="11" t="n">
        <v>2020</v>
      </c>
      <c r="I28" s="4" t="s">
        <v>98</v>
      </c>
      <c r="J28" s="4" t="s">
        <v>18</v>
      </c>
      <c r="K28" s="4" t="s">
        <v>21</v>
      </c>
      <c r="L28" s="4" t="s">
        <v>49</v>
      </c>
      <c r="M28" s="12"/>
      <c r="P28" s="12"/>
      <c r="T28" s="14"/>
      <c r="Y28" s="9"/>
      <c r="Z28" s="12"/>
      <c r="AC28" s="12"/>
      <c r="AH28" s="3" t="n">
        <v>840</v>
      </c>
    </row>
    <row r="29" spans="1:34" ht="15.75" customHeight="1">
      <c r="A29" s="4" t="s">
        <v>173</v>
      </c>
      <c r="B29" s="4" t="s">
        <v>174</v>
      </c>
      <c r="C29" s="4" t="s">
        <v>94</v>
      </c>
      <c r="D29" s="4" t="s">
        <v>175</v>
      </c>
      <c r="E29" s="11" t="n">
        <v>750</v>
      </c>
      <c r="F29" s="11" t="s">
        <v>96</v>
      </c>
      <c r="G29" s="4" t="s">
        <v>142</v>
      </c>
      <c r="H29" s="11" t="n">
        <v>2020</v>
      </c>
      <c r="I29" s="4" t="s">
        <v>98</v>
      </c>
      <c r="J29" s="4" t="s">
        <v>18</v>
      </c>
      <c r="K29" s="4" t="s">
        <v>21</v>
      </c>
      <c r="L29" s="4" t="s">
        <v>49</v>
      </c>
      <c r="M29" s="12"/>
      <c r="P29" s="12"/>
      <c r="T29" s="14"/>
      <c r="Y29" s="9"/>
      <c r="Z29" s="12"/>
      <c r="AC29" s="12"/>
      <c r="AH29" s="3" t="n">
        <v>836</v>
      </c>
    </row>
    <row r="30" spans="1:34" ht="15.75" customHeight="1">
      <c r="A30" s="4" t="s">
        <v>176</v>
      </c>
      <c r="B30" s="4" t="s">
        <v>177</v>
      </c>
      <c r="C30" s="4" t="s">
        <v>94</v>
      </c>
      <c r="D30" s="4" t="s">
        <v>178</v>
      </c>
      <c r="E30" s="11" t="n">
        <v>300</v>
      </c>
      <c r="F30" s="11" t="s">
        <v>96</v>
      </c>
      <c r="G30" s="4" t="s">
        <v>142</v>
      </c>
      <c r="H30" s="11" t="n">
        <v>2020</v>
      </c>
      <c r="I30" s="4" t="s">
        <v>98</v>
      </c>
      <c r="J30" s="4" t="s">
        <v>18</v>
      </c>
      <c r="K30" s="4" t="s">
        <v>20</v>
      </c>
      <c r="L30" s="4" t="s">
        <v>49</v>
      </c>
      <c r="M30" s="12"/>
      <c r="P30" s="12"/>
      <c r="T30" s="14"/>
      <c r="Y30" s="9"/>
      <c r="Z30" s="12"/>
      <c r="AC30" s="12"/>
      <c r="AH30" s="3" t="n">
        <v>837</v>
      </c>
    </row>
    <row r="31" spans="1:34" ht="15.75" customHeight="1">
      <c r="A31" s="4" t="s">
        <v>179</v>
      </c>
      <c r="B31" s="4" t="s">
        <v>180</v>
      </c>
      <c r="C31" s="4" t="s">
        <v>94</v>
      </c>
      <c r="D31" s="4" t="s">
        <v>181</v>
      </c>
      <c r="E31" s="11" t="n">
        <v>300</v>
      </c>
      <c r="F31" s="11" t="s">
        <v>96</v>
      </c>
      <c r="G31" s="4" t="s">
        <v>142</v>
      </c>
      <c r="H31" s="11" t="n">
        <v>2020</v>
      </c>
      <c r="I31" s="4" t="s">
        <v>98</v>
      </c>
      <c r="J31" s="4" t="s">
        <v>18</v>
      </c>
      <c r="K31" s="4" t="s">
        <v>20</v>
      </c>
      <c r="L31" s="4" t="s">
        <v>49</v>
      </c>
      <c r="M31" s="12"/>
      <c r="P31" s="12"/>
      <c r="T31" s="15"/>
      <c r="W31" s="12"/>
      <c r="Y31" s="9"/>
      <c r="Z31" s="12"/>
      <c r="AE31" s="12"/>
      <c r="AH31" t="n">
        <v>671</v>
      </c>
    </row>
    <row r="32" spans="1:34" ht="15.75" customHeight="1">
      <c r="A32" s="4" t="s">
        <v>182</v>
      </c>
      <c r="B32" s="4" t="s">
        <v>183</v>
      </c>
      <c r="C32" s="4" t="s">
        <v>94</v>
      </c>
      <c r="D32" s="4" t="s">
        <v>184</v>
      </c>
      <c r="E32" s="11" t="n">
        <v>300</v>
      </c>
      <c r="F32" s="11" t="s">
        <v>96</v>
      </c>
      <c r="G32" s="4" t="s">
        <v>142</v>
      </c>
      <c r="H32" s="11" t="n">
        <v>2020</v>
      </c>
      <c r="I32" s="4" t="s">
        <v>98</v>
      </c>
      <c r="J32" s="4" t="s">
        <v>18</v>
      </c>
      <c r="K32" s="4" t="s">
        <v>20</v>
      </c>
      <c r="L32" s="4" t="s">
        <v>49</v>
      </c>
      <c r="M32" s="12"/>
      <c r="P32" s="12"/>
      <c r="T32" s="14"/>
      <c r="Y32" s="9"/>
      <c r="Z32" s="12"/>
      <c r="AC32" s="12"/>
      <c r="AH32" s="3" t="n">
        <v>840</v>
      </c>
    </row>
    <row r="33" spans="1:34" ht="15.75" customHeight="1">
      <c r="A33" s="4" t="s">
        <v>185</v>
      </c>
      <c r="B33" s="4" t="s">
        <v>186</v>
      </c>
      <c r="C33" s="4" t="s">
        <v>94</v>
      </c>
      <c r="D33" s="4" t="s">
        <v>187</v>
      </c>
      <c r="E33" s="11" t="n">
        <v>300</v>
      </c>
      <c r="F33" s="11" t="s">
        <v>96</v>
      </c>
      <c r="G33" s="4" t="s">
        <v>142</v>
      </c>
      <c r="H33" s="11" t="n">
        <v>2020</v>
      </c>
      <c r="I33" s="4" t="s">
        <v>98</v>
      </c>
      <c r="J33" s="4" t="s">
        <v>18</v>
      </c>
      <c r="K33" s="4" t="s">
        <v>20</v>
      </c>
      <c r="L33" s="4" t="s">
        <v>49</v>
      </c>
      <c r="M33" s="12"/>
      <c r="P33" s="12"/>
      <c r="T33" s="14"/>
      <c r="Y33" s="9"/>
      <c r="Z33" s="12"/>
      <c r="AC33" s="12"/>
      <c r="AE33" s="12"/>
      <c r="AH33" s="3" t="n">
        <v>849</v>
      </c>
    </row>
    <row r="34" spans="1:34" ht="15.75" customHeight="1">
      <c r="A34" s="4" t="s">
        <v>188</v>
      </c>
      <c r="B34" s="4" t="s">
        <v>189</v>
      </c>
      <c r="C34" s="4" t="s">
        <v>94</v>
      </c>
      <c r="D34" s="4" t="s">
        <v>190</v>
      </c>
      <c r="E34" s="11" t="n">
        <v>300</v>
      </c>
      <c r="F34" s="11" t="s">
        <v>96</v>
      </c>
      <c r="G34" s="4" t="s">
        <v>142</v>
      </c>
      <c r="H34" s="11" t="n">
        <v>2020</v>
      </c>
      <c r="I34" s="4" t="s">
        <v>98</v>
      </c>
      <c r="J34" s="4" t="s">
        <v>18</v>
      </c>
      <c r="K34" s="4" t="s">
        <v>20</v>
      </c>
      <c r="L34" s="4" t="s">
        <v>49</v>
      </c>
      <c r="M34" s="12"/>
      <c r="P34" s="12"/>
      <c r="T34" s="15"/>
      <c r="W34" s="12"/>
      <c r="Y34" s="9"/>
      <c r="Z34" s="12"/>
      <c r="AC34" s="12"/>
      <c r="AE34" s="12"/>
      <c r="AH34" s="3" t="n">
        <v>839</v>
      </c>
    </row>
    <row r="35" spans="1:34" ht="15.75" customHeight="1">
      <c r="A35" s="4" t="s">
        <v>191</v>
      </c>
      <c r="B35" s="4" t="s">
        <v>192</v>
      </c>
      <c r="C35" s="4" t="s">
        <v>94</v>
      </c>
      <c r="D35" s="4" t="s">
        <v>193</v>
      </c>
      <c r="E35" s="11" t="n">
        <v>300</v>
      </c>
      <c r="F35" s="11" t="s">
        <v>96</v>
      </c>
      <c r="G35" s="4" t="s">
        <v>142</v>
      </c>
      <c r="H35" s="11" t="n">
        <v>2020</v>
      </c>
      <c r="I35" s="4" t="s">
        <v>98</v>
      </c>
      <c r="J35" s="4" t="s">
        <v>18</v>
      </c>
      <c r="K35" s="4" t="s">
        <v>20</v>
      </c>
      <c r="L35" s="4" t="s">
        <v>49</v>
      </c>
      <c r="M35" s="12"/>
      <c r="P35" s="12"/>
      <c r="T35" s="15"/>
      <c r="W35" s="12"/>
      <c r="Y35" s="9"/>
      <c r="Z35" s="12"/>
      <c r="AE35" s="12"/>
      <c r="AH35" s="3" t="n">
        <v>656</v>
      </c>
    </row>
    <row r="36" spans="1:34" ht="15.75" customHeight="1">
      <c r="A36" s="4" t="s">
        <v>194</v>
      </c>
      <c r="B36" s="4" t="s">
        <v>195</v>
      </c>
      <c r="C36" s="4" t="s">
        <v>94</v>
      </c>
      <c r="D36" s="4" t="s">
        <v>196</v>
      </c>
      <c r="E36" s="11" t="n">
        <v>750</v>
      </c>
      <c r="F36" s="11" t="s">
        <v>96</v>
      </c>
      <c r="G36" s="4" t="s">
        <v>142</v>
      </c>
      <c r="H36" s="11" t="n">
        <v>2020</v>
      </c>
      <c r="I36" s="4" t="s">
        <v>98</v>
      </c>
      <c r="J36" s="4" t="s">
        <v>18</v>
      </c>
      <c r="K36" s="4" t="s">
        <v>21</v>
      </c>
      <c r="L36" s="4" t="s">
        <v>49</v>
      </c>
      <c r="M36" s="12"/>
      <c r="P36" s="12"/>
      <c r="T36" s="14"/>
      <c r="Y36" s="9"/>
      <c r="Z36" s="12"/>
      <c r="AE36" s="12"/>
      <c r="AH36" s="3" t="n">
        <v>844</v>
      </c>
    </row>
    <row r="37" spans="1:34" ht="15.75" customHeight="1">
      <c r="A37" s="4" t="s">
        <v>197</v>
      </c>
      <c r="B37" s="4" t="s">
        <v>198</v>
      </c>
      <c r="C37" s="4" t="s">
        <v>94</v>
      </c>
      <c r="D37" s="4" t="s">
        <v>199</v>
      </c>
      <c r="E37" s="11" t="n">
        <v>750</v>
      </c>
      <c r="F37" s="11" t="s">
        <v>96</v>
      </c>
      <c r="G37" s="4" t="s">
        <v>142</v>
      </c>
      <c r="H37" s="11" t="n">
        <v>2020</v>
      </c>
      <c r="I37" s="4" t="s">
        <v>98</v>
      </c>
      <c r="J37" s="4" t="s">
        <v>18</v>
      </c>
      <c r="K37" s="4" t="s">
        <v>21</v>
      </c>
      <c r="L37" s="4" t="s">
        <v>49</v>
      </c>
      <c r="M37" s="12"/>
      <c r="P37" s="12"/>
      <c r="T37" s="14"/>
      <c r="Y37" s="9"/>
      <c r="Z37" s="12"/>
      <c r="AE37" s="12"/>
      <c r="AH37" s="3" t="n">
        <v>844</v>
      </c>
    </row>
    <row r="38" spans="1:34" ht="15.75" customHeight="1">
      <c r="A38" s="42" t="s">
        <v>200</v>
      </c>
      <c r="B38" s="4" t="s">
        <v>201</v>
      </c>
      <c r="C38" s="4" t="s">
        <v>113</v>
      </c>
      <c r="D38" s="4" t="s">
        <v>202</v>
      </c>
      <c r="E38" s="11" t="n">
        <v>750</v>
      </c>
      <c r="F38" s="11" t="s">
        <v>96</v>
      </c>
      <c r="G38" s="4" t="s">
        <v>142</v>
      </c>
      <c r="H38" s="11" t="n">
        <v>2020</v>
      </c>
      <c r="I38" s="4" t="s">
        <v>98</v>
      </c>
      <c r="J38" s="4" t="s">
        <v>18</v>
      </c>
      <c r="K38" s="4" t="s">
        <v>19</v>
      </c>
      <c r="L38" s="4" t="s">
        <v>49</v>
      </c>
      <c r="N38" s="12"/>
      <c r="P38" s="12"/>
      <c r="T38" s="14"/>
      <c r="Y38" s="9"/>
      <c r="AA38" s="12"/>
      <c r="AC38" s="12"/>
      <c r="AH38" t="n">
        <v>889</v>
      </c>
    </row>
    <row r="39" spans="1:34" ht="15.75" customHeight="1">
      <c r="A39" s="42" t="s">
        <v>203</v>
      </c>
      <c r="B39" s="4" t="s">
        <v>204</v>
      </c>
      <c r="C39" s="4" t="s">
        <v>113</v>
      </c>
      <c r="D39" s="4" t="s">
        <v>205</v>
      </c>
      <c r="E39" s="11" t="n">
        <v>300</v>
      </c>
      <c r="F39" s="11" t="s">
        <v>96</v>
      </c>
      <c r="G39" s="4" t="s">
        <v>206</v>
      </c>
      <c r="H39" s="11" t="n">
        <v>2023</v>
      </c>
      <c r="I39" s="4" t="s">
        <v>98</v>
      </c>
      <c r="J39" s="4" t="s">
        <v>22</v>
      </c>
      <c r="K39" s="4" t="s">
        <v>23</v>
      </c>
      <c r="L39" s="4" t="s">
        <v>49</v>
      </c>
      <c r="N39" s="12"/>
      <c r="P39" s="12"/>
      <c r="T39" s="14"/>
      <c r="Y39" s="9"/>
      <c r="AA39" s="12"/>
      <c r="AC39" s="12"/>
      <c r="AH39" s="3" t="n">
        <v>841</v>
      </c>
    </row>
    <row r="40" spans="1:34" ht="15.75" customHeight="1">
      <c r="A40" s="42" t="s">
        <v>207</v>
      </c>
      <c r="B40" s="4" t="s">
        <v>208</v>
      </c>
      <c r="C40" s="4" t="s">
        <v>113</v>
      </c>
      <c r="D40" s="4" t="s">
        <v>209</v>
      </c>
      <c r="E40" s="11" t="n">
        <v>300</v>
      </c>
      <c r="F40" s="11" t="s">
        <v>96</v>
      </c>
      <c r="G40" s="4" t="s">
        <v>206</v>
      </c>
      <c r="H40" s="11" t="n">
        <v>2023</v>
      </c>
      <c r="I40" s="4" t="s">
        <v>98</v>
      </c>
      <c r="J40" s="4" t="s">
        <v>22</v>
      </c>
      <c r="K40" s="4" t="s">
        <v>23</v>
      </c>
      <c r="L40" s="4" t="s">
        <v>49</v>
      </c>
      <c r="N40" s="12"/>
      <c r="P40" s="12"/>
      <c r="T40" s="14"/>
      <c r="Y40" s="9"/>
      <c r="AA40" s="12"/>
      <c r="AC40" s="12"/>
      <c r="AH40" s="3" t="n">
        <v>867</v>
      </c>
    </row>
    <row r="41" spans="1:34" ht="15.75" customHeight="1">
      <c r="A41" s="42" t="s">
        <v>210</v>
      </c>
      <c r="B41" s="4" t="s">
        <v>211</v>
      </c>
      <c r="C41" s="4" t="s">
        <v>113</v>
      </c>
      <c r="D41" s="4" t="s">
        <v>212</v>
      </c>
      <c r="E41" s="11" t="n">
        <v>300</v>
      </c>
      <c r="F41" s="11" t="s">
        <v>96</v>
      </c>
      <c r="G41" s="4" t="s">
        <v>206</v>
      </c>
      <c r="H41" s="11" t="n">
        <v>2023</v>
      </c>
      <c r="I41" s="4" t="s">
        <v>98</v>
      </c>
      <c r="J41" s="4" t="s">
        <v>22</v>
      </c>
      <c r="K41" s="4" t="s">
        <v>23</v>
      </c>
      <c r="L41" s="4" t="s">
        <v>49</v>
      </c>
      <c r="N41" s="12"/>
      <c r="P41" s="12"/>
      <c r="T41" s="14"/>
      <c r="Y41" s="9"/>
      <c r="AA41" s="12"/>
      <c r="AC41" s="12"/>
      <c r="AH41" s="3" t="n">
        <v>877</v>
      </c>
    </row>
    <row r="42" spans="1:34" ht="15.75" customHeight="1">
      <c r="A42" s="42" t="s">
        <v>213</v>
      </c>
      <c r="B42" s="4" t="s">
        <v>214</v>
      </c>
      <c r="C42" s="4" t="s">
        <v>113</v>
      </c>
      <c r="D42" s="4" t="s">
        <v>215</v>
      </c>
      <c r="E42" s="11" t="n">
        <v>300</v>
      </c>
      <c r="F42" s="11" t="s">
        <v>96</v>
      </c>
      <c r="G42" s="4" t="s">
        <v>206</v>
      </c>
      <c r="H42" s="11" t="n">
        <v>2023</v>
      </c>
      <c r="I42" s="4" t="s">
        <v>98</v>
      </c>
      <c r="J42" s="4" t="s">
        <v>22</v>
      </c>
      <c r="K42" s="4" t="s">
        <v>23</v>
      </c>
      <c r="L42" s="4" t="s">
        <v>49</v>
      </c>
      <c r="N42" s="12"/>
      <c r="P42" s="12"/>
      <c r="T42" s="14"/>
      <c r="Y42" s="9"/>
      <c r="AA42" s="12"/>
      <c r="AC42" s="12"/>
      <c r="AH42" s="3" t="n">
        <v>870</v>
      </c>
    </row>
    <row r="43" spans="1:34" ht="15.75" customHeight="1">
      <c r="A43" s="4" t="s">
        <v>216</v>
      </c>
      <c r="B43" s="4" t="s">
        <v>217</v>
      </c>
      <c r="C43" s="4" t="s">
        <v>94</v>
      </c>
      <c r="D43" s="4" t="s">
        <v>218</v>
      </c>
      <c r="E43" s="11" t="n">
        <v>300</v>
      </c>
      <c r="F43" s="11" t="s">
        <v>96</v>
      </c>
      <c r="G43" s="4" t="s">
        <v>206</v>
      </c>
      <c r="H43" s="11" t="n">
        <v>2023</v>
      </c>
      <c r="I43" s="4" t="s">
        <v>98</v>
      </c>
      <c r="J43" s="4" t="s">
        <v>22</v>
      </c>
      <c r="K43" s="4" t="s">
        <v>23</v>
      </c>
      <c r="L43" s="4" t="s">
        <v>49</v>
      </c>
      <c r="M43" s="12"/>
      <c r="P43" s="12"/>
      <c r="T43" s="14"/>
      <c r="Y43" s="9"/>
      <c r="Z43" s="12"/>
      <c r="AC43" s="12"/>
      <c r="AH43" s="3" t="n">
        <v>819</v>
      </c>
    </row>
    <row r="44" spans="1:34" ht="15.75" customHeight="1">
      <c r="A44" s="4" t="s">
        <v>219</v>
      </c>
      <c r="B44" s="4" t="s">
        <v>220</v>
      </c>
      <c r="C44" s="4" t="s">
        <v>94</v>
      </c>
      <c r="D44" s="4" t="s">
        <v>221</v>
      </c>
      <c r="E44" s="11" t="n">
        <v>300</v>
      </c>
      <c r="F44" s="11" t="s">
        <v>96</v>
      </c>
      <c r="G44" s="4" t="s">
        <v>206</v>
      </c>
      <c r="H44" s="11" t="n">
        <v>2023</v>
      </c>
      <c r="I44" s="4" t="s">
        <v>98</v>
      </c>
      <c r="J44" s="4" t="s">
        <v>22</v>
      </c>
      <c r="K44" s="4" t="s">
        <v>23</v>
      </c>
      <c r="L44" s="4" t="s">
        <v>49</v>
      </c>
      <c r="M44" s="12"/>
      <c r="P44" s="12"/>
      <c r="T44" s="14"/>
      <c r="Y44" s="9"/>
      <c r="Z44" s="12"/>
      <c r="AC44" s="12"/>
      <c r="AH44" s="3" t="n">
        <v>847</v>
      </c>
    </row>
    <row r="45" spans="1:34" ht="15.75" customHeight="1">
      <c r="A45" s="4" t="s">
        <v>222</v>
      </c>
      <c r="B45" s="4" t="s">
        <v>223</v>
      </c>
      <c r="C45" s="4" t="s">
        <v>94</v>
      </c>
      <c r="D45" s="4" t="s">
        <v>224</v>
      </c>
      <c r="E45" s="11" t="n">
        <v>300</v>
      </c>
      <c r="F45" s="11" t="s">
        <v>96</v>
      </c>
      <c r="G45" s="4" t="s">
        <v>206</v>
      </c>
      <c r="H45" s="11" t="n">
        <v>2023</v>
      </c>
      <c r="I45" s="4" t="s">
        <v>98</v>
      </c>
      <c r="J45" s="4" t="s">
        <v>22</v>
      </c>
      <c r="K45" s="4" t="s">
        <v>23</v>
      </c>
      <c r="L45" s="4" t="s">
        <v>49</v>
      </c>
      <c r="M45" s="12"/>
      <c r="P45" s="12"/>
      <c r="T45" s="14"/>
      <c r="Y45" s="9"/>
      <c r="Z45" s="12"/>
      <c r="AC45" s="12"/>
      <c r="AH45" s="3" t="n">
        <v>829</v>
      </c>
    </row>
    <row r="46" spans="1:34" ht="15.75" customHeight="1">
      <c r="A46" s="42" t="s">
        <v>225</v>
      </c>
      <c r="B46" s="4" t="s">
        <v>226</v>
      </c>
      <c r="C46" s="4" t="s">
        <v>113</v>
      </c>
      <c r="D46" s="4" t="s">
        <v>227</v>
      </c>
      <c r="E46" s="11" t="n">
        <v>300</v>
      </c>
      <c r="F46" s="11" t="s">
        <v>96</v>
      </c>
      <c r="G46" s="4" t="s">
        <v>228</v>
      </c>
      <c r="H46" s="11" t="n">
        <v>2023</v>
      </c>
      <c r="I46" s="4" t="s">
        <v>98</v>
      </c>
      <c r="J46" s="4" t="s">
        <v>24</v>
      </c>
      <c r="K46" s="4" t="s">
        <v>25</v>
      </c>
      <c r="L46" s="4" t="s">
        <v>49</v>
      </c>
      <c r="N46" s="12"/>
      <c r="P46" s="12"/>
      <c r="T46" s="14"/>
      <c r="Y46" s="9"/>
      <c r="AA46" s="12"/>
      <c r="AC46" s="12"/>
      <c r="AH46" s="3" t="n">
        <v>890</v>
      </c>
    </row>
    <row r="47" spans="1:34" ht="15.75" customHeight="1">
      <c r="A47" s="42" t="s">
        <v>229</v>
      </c>
      <c r="B47" s="4" t="s">
        <v>230</v>
      </c>
      <c r="C47" s="4" t="s">
        <v>113</v>
      </c>
      <c r="D47" s="4" t="s">
        <v>231</v>
      </c>
      <c r="E47" s="11" t="n">
        <v>300</v>
      </c>
      <c r="F47" s="11" t="s">
        <v>96</v>
      </c>
      <c r="G47" s="4" t="s">
        <v>228</v>
      </c>
      <c r="H47" s="11" t="n">
        <v>2023</v>
      </c>
      <c r="I47" s="4" t="s">
        <v>98</v>
      </c>
      <c r="J47" s="4" t="s">
        <v>24</v>
      </c>
      <c r="K47" s="4" t="s">
        <v>25</v>
      </c>
      <c r="L47" s="4" t="s">
        <v>49</v>
      </c>
      <c r="N47" s="12"/>
      <c r="P47" s="12"/>
      <c r="T47" s="14"/>
      <c r="Y47" s="9"/>
      <c r="AA47" s="12"/>
      <c r="AC47" s="12"/>
      <c r="AH47" s="3" t="n">
        <v>803</v>
      </c>
    </row>
    <row r="48" spans="1:34" ht="15.75" customHeight="1">
      <c r="A48" s="42" t="s">
        <v>232</v>
      </c>
      <c r="B48" s="4" t="s">
        <v>233</v>
      </c>
      <c r="C48" s="4" t="s">
        <v>113</v>
      </c>
      <c r="D48" s="4" t="s">
        <v>234</v>
      </c>
      <c r="E48" s="11" t="n">
        <v>300</v>
      </c>
      <c r="F48" s="11" t="s">
        <v>96</v>
      </c>
      <c r="G48" s="4" t="s">
        <v>228</v>
      </c>
      <c r="H48" s="11" t="n">
        <v>2023</v>
      </c>
      <c r="I48" s="4" t="s">
        <v>98</v>
      </c>
      <c r="J48" s="4" t="s">
        <v>24</v>
      </c>
      <c r="K48" s="4" t="s">
        <v>25</v>
      </c>
      <c r="L48" s="4" t="s">
        <v>49</v>
      </c>
      <c r="N48" s="12"/>
      <c r="P48" s="12"/>
      <c r="T48" s="14"/>
      <c r="Y48" s="9"/>
      <c r="AB48" s="12"/>
      <c r="AD48" s="12"/>
      <c r="AH48" s="3" t="n">
        <v>890</v>
      </c>
    </row>
    <row r="49" spans="1:34" ht="15.75" customHeight="1">
      <c r="A49" s="42" t="s">
        <v>235</v>
      </c>
      <c r="B49" s="4" t="s">
        <v>236</v>
      </c>
      <c r="C49" s="4" t="s">
        <v>113</v>
      </c>
      <c r="D49" s="4" t="s">
        <v>237</v>
      </c>
      <c r="E49" s="11" t="n">
        <v>300</v>
      </c>
      <c r="F49" s="11" t="s">
        <v>96</v>
      </c>
      <c r="G49" s="4" t="s">
        <v>228</v>
      </c>
      <c r="H49" s="11" t="n">
        <v>2023</v>
      </c>
      <c r="I49" s="4" t="s">
        <v>98</v>
      </c>
      <c r="J49" s="4" t="s">
        <v>24</v>
      </c>
      <c r="K49" s="4" t="s">
        <v>25</v>
      </c>
      <c r="L49" s="4" t="s">
        <v>49</v>
      </c>
      <c r="N49" s="12"/>
      <c r="P49" s="12"/>
      <c r="T49" s="14"/>
      <c r="Y49" s="9"/>
      <c r="AA49" s="12"/>
      <c r="AC49" s="12"/>
      <c r="AH49" s="3" t="n">
        <v>890</v>
      </c>
    </row>
    <row r="50" spans="1:34" ht="15.75" customHeight="1">
      <c r="A50" s="4" t="s">
        <v>238</v>
      </c>
      <c r="B50" s="4" t="s">
        <v>239</v>
      </c>
      <c r="C50" s="4" t="s">
        <v>94</v>
      </c>
      <c r="D50" s="4" t="s">
        <v>240</v>
      </c>
      <c r="E50" s="11" t="n">
        <v>300</v>
      </c>
      <c r="F50" s="11" t="s">
        <v>96</v>
      </c>
      <c r="G50" s="4" t="s">
        <v>228</v>
      </c>
      <c r="H50" s="11" t="n">
        <v>2023</v>
      </c>
      <c r="I50" s="4" t="s">
        <v>98</v>
      </c>
      <c r="J50" s="4" t="s">
        <v>24</v>
      </c>
      <c r="K50" s="4" t="s">
        <v>25</v>
      </c>
      <c r="L50" s="4" t="s">
        <v>49</v>
      </c>
      <c r="M50" s="12"/>
      <c r="P50" s="12"/>
      <c r="T50" s="12"/>
      <c r="W50" s="12"/>
      <c r="Y50" s="9"/>
      <c r="Z50" s="12"/>
      <c r="AE50" s="12"/>
      <c r="AH50" s="3" t="n">
        <v>673</v>
      </c>
    </row>
    <row r="51" spans="1:34" ht="15.75" customHeight="1">
      <c r="A51" s="4" t="s">
        <v>241</v>
      </c>
      <c r="B51" s="4" t="s">
        <v>242</v>
      </c>
      <c r="C51" s="4" t="s">
        <v>94</v>
      </c>
      <c r="D51" s="4" t="s">
        <v>243</v>
      </c>
      <c r="E51" s="11" t="n">
        <v>300</v>
      </c>
      <c r="F51" s="11" t="s">
        <v>96</v>
      </c>
      <c r="G51" s="4" t="s">
        <v>228</v>
      </c>
      <c r="H51" s="11" t="n">
        <v>2023</v>
      </c>
      <c r="I51" s="4" t="s">
        <v>98</v>
      </c>
      <c r="J51" s="4" t="s">
        <v>24</v>
      </c>
      <c r="K51" s="4" t="s">
        <v>25</v>
      </c>
      <c r="L51" s="4" t="s">
        <v>49</v>
      </c>
      <c r="M51" s="12"/>
      <c r="P51" s="12"/>
      <c r="T51" s="14"/>
      <c r="Y51" s="9"/>
      <c r="Z51" s="12"/>
      <c r="AC51" s="12"/>
      <c r="AH51" s="3" t="n">
        <v>837</v>
      </c>
    </row>
    <row r="52" spans="1:34" ht="15.75" customHeight="1">
      <c r="A52" s="4" t="s">
        <v>244</v>
      </c>
      <c r="B52" s="4" t="s">
        <v>245</v>
      </c>
      <c r="C52" s="4" t="s">
        <v>94</v>
      </c>
      <c r="D52" s="4" t="s">
        <v>246</v>
      </c>
      <c r="E52" s="11" t="n">
        <v>300</v>
      </c>
      <c r="F52" s="11" t="s">
        <v>96</v>
      </c>
      <c r="G52" s="4" t="s">
        <v>228</v>
      </c>
      <c r="H52" s="11" t="n">
        <v>2023</v>
      </c>
      <c r="I52" s="4" t="s">
        <v>98</v>
      </c>
      <c r="J52" s="4" t="s">
        <v>24</v>
      </c>
      <c r="K52" s="4" t="s">
        <v>25</v>
      </c>
      <c r="L52" s="4" t="s">
        <v>49</v>
      </c>
      <c r="M52" s="12"/>
      <c r="P52" s="12"/>
      <c r="T52" s="12"/>
      <c r="W52" s="12"/>
      <c r="Y52" s="9"/>
      <c r="Z52" s="12"/>
      <c r="AC52" s="12"/>
      <c r="AH52" s="3" t="n">
        <v>844</v>
      </c>
    </row>
    <row r="53" spans="1:34" ht="15.75" customHeight="1">
      <c r="A53" s="4" t="s">
        <v>247</v>
      </c>
      <c r="B53" s="4" t="s">
        <v>248</v>
      </c>
      <c r="C53" s="4" t="s">
        <v>94</v>
      </c>
      <c r="D53" s="4" t="s">
        <v>249</v>
      </c>
      <c r="E53" s="11" t="n">
        <v>300</v>
      </c>
      <c r="F53" s="11" t="s">
        <v>96</v>
      </c>
      <c r="G53" s="4" t="s">
        <v>228</v>
      </c>
      <c r="H53" s="11" t="n">
        <v>2023</v>
      </c>
      <c r="I53" s="4" t="s">
        <v>98</v>
      </c>
      <c r="J53" s="4" t="s">
        <v>24</v>
      </c>
      <c r="K53" s="4" t="s">
        <v>25</v>
      </c>
      <c r="L53" s="4" t="s">
        <v>49</v>
      </c>
      <c r="M53" s="12"/>
      <c r="P53" s="12"/>
      <c r="T53" s="14"/>
      <c r="Y53" s="9"/>
      <c r="Z53" s="12"/>
      <c r="AC53" s="12"/>
      <c r="AH53" s="3" t="n">
        <v>791</v>
      </c>
    </row>
    <row r="54" spans="1:34" ht="15.75" customHeight="1">
      <c r="A54" s="42" t="s">
        <v>250</v>
      </c>
      <c r="B54" s="4" t="s">
        <v>251</v>
      </c>
      <c r="C54" s="4" t="s">
        <v>113</v>
      </c>
      <c r="D54" s="4" t="s">
        <v>252</v>
      </c>
      <c r="E54" s="11" t="n">
        <v>200</v>
      </c>
      <c r="F54" s="11" t="s">
        <v>96</v>
      </c>
      <c r="G54" s="4" t="s">
        <v>228</v>
      </c>
      <c r="H54" s="11" t="n">
        <v>2023</v>
      </c>
      <c r="I54" s="4" t="s">
        <v>98</v>
      </c>
      <c r="J54" s="4" t="s">
        <v>26</v>
      </c>
      <c r="K54" s="4" t="s">
        <v>27</v>
      </c>
      <c r="L54" s="4" t="s">
        <v>49</v>
      </c>
      <c r="N54" s="12"/>
      <c r="P54" s="12"/>
      <c r="T54" s="14"/>
      <c r="V54" s="12"/>
      <c r="X54" s="12"/>
      <c r="Y54" s="9"/>
      <c r="AB54" s="12"/>
      <c r="AD54" s="12"/>
      <c r="AH54" s="3" t="n">
        <v>801</v>
      </c>
    </row>
    <row r="55" spans="1:34" ht="15.75" customHeight="1">
      <c r="A55" s="42" t="s">
        <v>253</v>
      </c>
      <c r="B55" s="4" t="s">
        <v>254</v>
      </c>
      <c r="C55" s="4" t="s">
        <v>113</v>
      </c>
      <c r="D55" s="4" t="s">
        <v>255</v>
      </c>
      <c r="E55" s="11" t="n">
        <v>200</v>
      </c>
      <c r="F55" s="11" t="s">
        <v>96</v>
      </c>
      <c r="G55" s="4" t="s">
        <v>228</v>
      </c>
      <c r="H55" s="11" t="n">
        <v>2023</v>
      </c>
      <c r="I55" s="4" t="s">
        <v>98</v>
      </c>
      <c r="J55" s="4" t="s">
        <v>26</v>
      </c>
      <c r="K55" s="4" t="s">
        <v>27</v>
      </c>
      <c r="L55" s="4" t="s">
        <v>49</v>
      </c>
      <c r="N55" s="12"/>
      <c r="P55" s="12"/>
      <c r="T55" s="14"/>
      <c r="V55" s="12"/>
      <c r="X55" s="12"/>
      <c r="Y55" s="9"/>
      <c r="AB55" s="12"/>
      <c r="AD55" s="12"/>
      <c r="AH55" s="3" t="n">
        <v>784</v>
      </c>
    </row>
    <row r="56" spans="1:34" ht="15.75" customHeight="1">
      <c r="A56" s="42" t="s">
        <v>256</v>
      </c>
      <c r="B56" s="4" t="s">
        <v>257</v>
      </c>
      <c r="C56" s="4" t="s">
        <v>113</v>
      </c>
      <c r="D56" s="4" t="s">
        <v>258</v>
      </c>
      <c r="E56" s="11" t="n">
        <v>200</v>
      </c>
      <c r="F56" s="11" t="s">
        <v>96</v>
      </c>
      <c r="G56" s="4" t="s">
        <v>228</v>
      </c>
      <c r="H56" s="11" t="n">
        <v>2023</v>
      </c>
      <c r="I56" s="4" t="s">
        <v>98</v>
      </c>
      <c r="J56" s="4" t="s">
        <v>26</v>
      </c>
      <c r="K56" s="4" t="s">
        <v>27</v>
      </c>
      <c r="L56" s="4" t="s">
        <v>49</v>
      </c>
      <c r="N56" s="12"/>
      <c r="P56" s="12"/>
      <c r="T56" s="14"/>
      <c r="V56" s="12"/>
      <c r="X56" s="12"/>
      <c r="Y56" s="9"/>
      <c r="AB56" s="12"/>
      <c r="AD56" s="12"/>
      <c r="AH56" s="3" t="n">
        <v>786</v>
      </c>
    </row>
    <row r="57" spans="1:34" ht="15.75" customHeight="1">
      <c r="A57" s="42" t="s">
        <v>259</v>
      </c>
      <c r="B57" s="4" t="s">
        <v>260</v>
      </c>
      <c r="C57" s="4" t="s">
        <v>113</v>
      </c>
      <c r="D57" s="4" t="s">
        <v>261</v>
      </c>
      <c r="E57" s="11" t="n">
        <v>200</v>
      </c>
      <c r="F57" s="11" t="s">
        <v>96</v>
      </c>
      <c r="G57" s="4" t="s">
        <v>228</v>
      </c>
      <c r="H57" s="11" t="n">
        <v>2023</v>
      </c>
      <c r="I57" s="4" t="s">
        <v>98</v>
      </c>
      <c r="J57" s="4" t="s">
        <v>26</v>
      </c>
      <c r="K57" s="4" t="s">
        <v>27</v>
      </c>
      <c r="L57" s="4" t="s">
        <v>49</v>
      </c>
      <c r="N57" s="12"/>
      <c r="P57" s="12"/>
      <c r="T57" s="14"/>
      <c r="V57" s="12"/>
      <c r="X57" s="12"/>
      <c r="Y57" s="9"/>
      <c r="AB57" s="12"/>
      <c r="AD57" s="12"/>
      <c r="AH57" s="3" t="n">
        <v>798</v>
      </c>
    </row>
    <row r="58" spans="1:34" ht="15.75" customHeight="1">
      <c r="A58" s="4" t="s">
        <v>262</v>
      </c>
      <c r="B58" s="4" t="s">
        <v>263</v>
      </c>
      <c r="C58" s="4" t="s">
        <v>94</v>
      </c>
      <c r="D58" s="4" t="s">
        <v>264</v>
      </c>
      <c r="E58" s="11" t="n">
        <v>200</v>
      </c>
      <c r="F58" s="11" t="s">
        <v>96</v>
      </c>
      <c r="G58" s="4" t="s">
        <v>228</v>
      </c>
      <c r="H58" s="11" t="n">
        <v>2023</v>
      </c>
      <c r="I58" s="4" t="s">
        <v>98</v>
      </c>
      <c r="J58" s="4" t="s">
        <v>26</v>
      </c>
      <c r="K58" s="4" t="s">
        <v>27</v>
      </c>
      <c r="L58" s="4" t="s">
        <v>49</v>
      </c>
      <c r="M58" s="12"/>
      <c r="P58" s="12"/>
      <c r="T58" s="14"/>
      <c r="Y58" s="9"/>
      <c r="Z58" s="12"/>
      <c r="AC58" s="12"/>
      <c r="AH58" s="3" t="n">
        <v>811</v>
      </c>
    </row>
    <row r="59" spans="1:34" ht="15.75" customHeight="1">
      <c r="A59" s="4" t="s">
        <v>265</v>
      </c>
      <c r="B59" s="4" t="s">
        <v>266</v>
      </c>
      <c r="C59" s="4" t="s">
        <v>94</v>
      </c>
      <c r="D59" s="4" t="s">
        <v>267</v>
      </c>
      <c r="E59" s="11" t="n">
        <v>200</v>
      </c>
      <c r="F59" s="11" t="s">
        <v>96</v>
      </c>
      <c r="G59" s="4" t="s">
        <v>228</v>
      </c>
      <c r="H59" s="11" t="n">
        <v>2023</v>
      </c>
      <c r="I59" s="4" t="s">
        <v>98</v>
      </c>
      <c r="J59" s="4" t="s">
        <v>26</v>
      </c>
      <c r="K59" s="4" t="s">
        <v>27</v>
      </c>
      <c r="L59" s="4" t="s">
        <v>49</v>
      </c>
      <c r="M59" s="12"/>
      <c r="P59" s="12"/>
      <c r="T59" s="14"/>
      <c r="Y59" s="9"/>
      <c r="Z59" s="12"/>
      <c r="AC59" s="12"/>
      <c r="AH59" s="3" t="n">
        <v>808</v>
      </c>
    </row>
    <row r="60" spans="1:34" ht="15.75" customHeight="1">
      <c r="A60" s="4" t="s">
        <v>268</v>
      </c>
      <c r="B60" s="4" t="s">
        <v>269</v>
      </c>
      <c r="C60" s="4" t="s">
        <v>94</v>
      </c>
      <c r="D60" s="4" t="s">
        <v>270</v>
      </c>
      <c r="E60" s="11" t="n">
        <v>200</v>
      </c>
      <c r="F60" s="11" t="s">
        <v>96</v>
      </c>
      <c r="G60" s="4" t="s">
        <v>228</v>
      </c>
      <c r="H60" s="11" t="n">
        <v>2023</v>
      </c>
      <c r="I60" s="4" t="s">
        <v>98</v>
      </c>
      <c r="J60" s="4" t="s">
        <v>26</v>
      </c>
      <c r="K60" s="4" t="s">
        <v>27</v>
      </c>
      <c r="L60" s="4" t="s">
        <v>49</v>
      </c>
      <c r="M60" s="12"/>
      <c r="P60" s="12"/>
      <c r="T60" s="14"/>
      <c r="Y60" s="9"/>
      <c r="Z60" s="12"/>
      <c r="AC60" s="12"/>
      <c r="AH60" s="3" t="n">
        <v>807</v>
      </c>
    </row>
    <row r="61" spans="1:34" ht="15.75" customHeight="1">
      <c r="A61" s="4" t="s">
        <v>271</v>
      </c>
      <c r="B61" s="4" t="s">
        <v>272</v>
      </c>
      <c r="C61" s="4" t="s">
        <v>94</v>
      </c>
      <c r="D61" s="4" t="s">
        <v>273</v>
      </c>
      <c r="E61" s="11" t="n">
        <v>200</v>
      </c>
      <c r="F61" s="11" t="s">
        <v>96</v>
      </c>
      <c r="G61" s="4" t="s">
        <v>228</v>
      </c>
      <c r="H61" s="11" t="n">
        <v>2023</v>
      </c>
      <c r="I61" s="4" t="s">
        <v>98</v>
      </c>
      <c r="J61" s="4" t="s">
        <v>26</v>
      </c>
      <c r="K61" s="4" t="s">
        <v>27</v>
      </c>
      <c r="L61" s="4" t="s">
        <v>49</v>
      </c>
      <c r="M61" s="12"/>
      <c r="P61" s="12"/>
      <c r="T61" s="14"/>
      <c r="Y61" s="9"/>
      <c r="Z61" s="12"/>
      <c r="AC61" s="12"/>
      <c r="AH61" s="3" t="n">
        <v>805</v>
      </c>
    </row>
    <row r="62" spans="1:34" ht="15.75" customHeight="1">
      <c r="A62" s="42" t="s">
        <v>274</v>
      </c>
      <c r="B62" s="4" t="s">
        <v>275</v>
      </c>
      <c r="C62" s="4" t="s">
        <v>113</v>
      </c>
      <c r="D62" s="4" t="s">
        <v>276</v>
      </c>
      <c r="E62" s="11" t="n">
        <v>200</v>
      </c>
      <c r="F62" s="11" t="s">
        <v>96</v>
      </c>
      <c r="G62" s="4" t="s">
        <v>228</v>
      </c>
      <c r="H62" s="11" t="n">
        <v>2023</v>
      </c>
      <c r="I62" s="4" t="s">
        <v>98</v>
      </c>
      <c r="J62" s="4" t="s">
        <v>26</v>
      </c>
      <c r="K62" s="4" t="s">
        <v>27</v>
      </c>
      <c r="L62" s="4" t="s">
        <v>49</v>
      </c>
      <c r="N62" s="12"/>
      <c r="P62" s="12"/>
      <c r="T62" s="14"/>
      <c r="V62" s="12"/>
      <c r="X62" s="12"/>
      <c r="Y62" s="9"/>
      <c r="AB62" s="12"/>
      <c r="AD62" s="12"/>
      <c r="AH62" s="3" t="n">
        <v>777</v>
      </c>
    </row>
    <row r="63" spans="1:34" ht="15.75" customHeight="1">
      <c r="A63" s="42" t="s">
        <v>277</v>
      </c>
      <c r="B63" s="4" t="s">
        <v>278</v>
      </c>
      <c r="C63" s="4" t="s">
        <v>113</v>
      </c>
      <c r="D63" s="4" t="s">
        <v>279</v>
      </c>
      <c r="E63" s="11" t="n">
        <v>200</v>
      </c>
      <c r="F63" s="11" t="s">
        <v>96</v>
      </c>
      <c r="G63" s="4" t="s">
        <v>228</v>
      </c>
      <c r="H63" s="11" t="n">
        <v>2023</v>
      </c>
      <c r="I63" s="4" t="s">
        <v>98</v>
      </c>
      <c r="J63" s="4" t="s">
        <v>26</v>
      </c>
      <c r="K63" s="4" t="s">
        <v>27</v>
      </c>
      <c r="L63" s="4" t="s">
        <v>49</v>
      </c>
      <c r="N63" s="12"/>
      <c r="P63" s="12"/>
      <c r="T63" s="14"/>
      <c r="V63" s="12"/>
      <c r="X63" s="12"/>
      <c r="Y63" s="9"/>
      <c r="AB63" s="12"/>
      <c r="AD63" s="12"/>
      <c r="AH63" s="3" t="n">
        <v>770</v>
      </c>
    </row>
    <row r="64" spans="1:34" ht="15.75" customHeight="1">
      <c r="A64" s="42" t="s">
        <v>280</v>
      </c>
      <c r="B64" s="4" t="s">
        <v>281</v>
      </c>
      <c r="C64" s="4" t="s">
        <v>113</v>
      </c>
      <c r="D64" s="4" t="s">
        <v>282</v>
      </c>
      <c r="E64" s="11" t="n">
        <v>200</v>
      </c>
      <c r="F64" s="11" t="s">
        <v>96</v>
      </c>
      <c r="G64" s="4" t="s">
        <v>228</v>
      </c>
      <c r="H64" s="11" t="n">
        <v>2023</v>
      </c>
      <c r="I64" s="4" t="s">
        <v>98</v>
      </c>
      <c r="J64" s="4" t="s">
        <v>26</v>
      </c>
      <c r="K64" s="4" t="s">
        <v>27</v>
      </c>
      <c r="L64" s="4" t="s">
        <v>49</v>
      </c>
      <c r="N64" s="12"/>
      <c r="P64" s="12"/>
      <c r="T64" s="14"/>
      <c r="V64" s="12"/>
      <c r="X64" s="12"/>
      <c r="Y64" s="9"/>
      <c r="AB64" s="12"/>
      <c r="AD64" s="12"/>
      <c r="AH64" s="3" t="n">
        <v>802</v>
      </c>
    </row>
    <row r="65" spans="1:34" ht="15.75" customHeight="1">
      <c r="A65" s="42" t="s">
        <v>283</v>
      </c>
      <c r="B65" s="4" t="s">
        <v>284</v>
      </c>
      <c r="C65" s="4" t="s">
        <v>113</v>
      </c>
      <c r="D65" s="4" t="s">
        <v>285</v>
      </c>
      <c r="E65" s="11" t="n">
        <v>200</v>
      </c>
      <c r="F65" s="11" t="s">
        <v>96</v>
      </c>
      <c r="G65" s="4" t="s">
        <v>228</v>
      </c>
      <c r="H65" s="11" t="n">
        <v>2023</v>
      </c>
      <c r="I65" s="4" t="s">
        <v>98</v>
      </c>
      <c r="J65" s="4" t="s">
        <v>26</v>
      </c>
      <c r="K65" s="4" t="s">
        <v>27</v>
      </c>
      <c r="L65" s="4" t="s">
        <v>49</v>
      </c>
      <c r="N65" s="12"/>
      <c r="P65" s="12"/>
      <c r="T65" s="14"/>
      <c r="V65" s="12"/>
      <c r="X65" s="12"/>
      <c r="Y65" s="9"/>
      <c r="AB65" s="12"/>
      <c r="AD65" s="12"/>
      <c r="AH65" s="3" t="n">
        <v>795</v>
      </c>
    </row>
    <row r="66" spans="1:34" ht="15.75" customHeight="1">
      <c r="A66" s="42" t="s">
        <v>286</v>
      </c>
      <c r="B66" s="4" t="s">
        <v>287</v>
      </c>
      <c r="C66" s="4" t="s">
        <v>113</v>
      </c>
      <c r="D66" s="4" t="s">
        <v>288</v>
      </c>
      <c r="E66" s="11" t="n">
        <v>200</v>
      </c>
      <c r="F66" s="11" t="s">
        <v>96</v>
      </c>
      <c r="G66" s="4" t="s">
        <v>228</v>
      </c>
      <c r="H66" s="11" t="n">
        <v>2023</v>
      </c>
      <c r="I66" s="4" t="s">
        <v>98</v>
      </c>
      <c r="J66" s="4" t="s">
        <v>26</v>
      </c>
      <c r="K66" s="4" t="s">
        <v>27</v>
      </c>
      <c r="L66" s="4" t="s">
        <v>49</v>
      </c>
      <c r="N66" s="12"/>
      <c r="P66" s="12"/>
      <c r="T66" s="14"/>
      <c r="V66" s="12"/>
      <c r="X66" s="12"/>
      <c r="Y66" s="9"/>
      <c r="AB66" s="12"/>
      <c r="AD66" s="12"/>
      <c r="AH66" s="3" t="n">
        <v>783</v>
      </c>
    </row>
    <row r="67" spans="1:34" ht="15.75" customHeight="1">
      <c r="A67" s="42" t="s">
        <v>289</v>
      </c>
      <c r="B67" s="4" t="s">
        <v>290</v>
      </c>
      <c r="C67" s="4" t="s">
        <v>113</v>
      </c>
      <c r="D67" s="4" t="s">
        <v>291</v>
      </c>
      <c r="E67" s="11" t="n">
        <v>200</v>
      </c>
      <c r="F67" s="11" t="s">
        <v>96</v>
      </c>
      <c r="G67" s="4" t="s">
        <v>228</v>
      </c>
      <c r="H67" s="11" t="n">
        <v>2023</v>
      </c>
      <c r="I67" s="4" t="s">
        <v>98</v>
      </c>
      <c r="J67" s="4" t="s">
        <v>26</v>
      </c>
      <c r="K67" s="4" t="s">
        <v>27</v>
      </c>
      <c r="L67" s="4" t="s">
        <v>49</v>
      </c>
      <c r="N67" s="12"/>
      <c r="P67" s="12"/>
      <c r="T67" s="14"/>
      <c r="V67" s="12"/>
      <c r="X67" s="12"/>
      <c r="Y67" s="9"/>
      <c r="AB67" s="12"/>
      <c r="AD67" s="12"/>
      <c r="AH67" s="3" t="n">
        <v>806</v>
      </c>
    </row>
    <row r="68" spans="1:34" ht="15.75" customHeight="1">
      <c r="A68" s="42" t="s">
        <v>292</v>
      </c>
      <c r="B68" s="4" t="s">
        <v>293</v>
      </c>
      <c r="C68" s="4" t="s">
        <v>113</v>
      </c>
      <c r="D68" s="4" t="s">
        <v>294</v>
      </c>
      <c r="E68" s="11" t="n">
        <v>200</v>
      </c>
      <c r="F68" s="11" t="s">
        <v>96</v>
      </c>
      <c r="G68" s="4" t="s">
        <v>228</v>
      </c>
      <c r="H68" s="11" t="n">
        <v>2023</v>
      </c>
      <c r="I68" s="4" t="s">
        <v>98</v>
      </c>
      <c r="J68" s="4" t="s">
        <v>26</v>
      </c>
      <c r="K68" s="4" t="s">
        <v>27</v>
      </c>
      <c r="L68" s="4" t="s">
        <v>49</v>
      </c>
      <c r="N68" s="12"/>
      <c r="P68" s="12"/>
      <c r="T68" s="14"/>
      <c r="V68" s="12"/>
      <c r="X68" s="12"/>
      <c r="Y68" s="9"/>
      <c r="AB68" s="12"/>
      <c r="AD68" s="12"/>
      <c r="AH68" s="3" t="n">
        <v>785</v>
      </c>
    </row>
    <row r="69" spans="1:34" ht="15.75" customHeight="1">
      <c r="A69" s="42" t="s">
        <v>295</v>
      </c>
      <c r="B69" s="4" t="s">
        <v>296</v>
      </c>
      <c r="C69" s="4" t="s">
        <v>113</v>
      </c>
      <c r="D69" s="4" t="s">
        <v>297</v>
      </c>
      <c r="E69" s="11" t="n">
        <v>200</v>
      </c>
      <c r="F69" s="11" t="s">
        <v>96</v>
      </c>
      <c r="G69" s="4" t="s">
        <v>228</v>
      </c>
      <c r="H69" s="11" t="n">
        <v>2023</v>
      </c>
      <c r="I69" s="4" t="s">
        <v>98</v>
      </c>
      <c r="J69" s="4" t="s">
        <v>26</v>
      </c>
      <c r="K69" s="4" t="s">
        <v>27</v>
      </c>
      <c r="L69" s="4" t="s">
        <v>49</v>
      </c>
      <c r="N69" s="12"/>
      <c r="P69" s="12"/>
      <c r="T69" s="14"/>
      <c r="V69" s="12"/>
      <c r="X69" s="12"/>
      <c r="Y69" s="9"/>
      <c r="AB69" s="12"/>
      <c r="AD69" s="12"/>
      <c r="AH69" s="3" t="n">
        <v>795</v>
      </c>
    </row>
    <row r="70" spans="1:34" ht="15.75" customHeight="1">
      <c r="A70" s="4" t="s">
        <v>298</v>
      </c>
      <c r="B70" s="4" t="s">
        <v>299</v>
      </c>
      <c r="C70" s="4" t="s">
        <v>94</v>
      </c>
      <c r="D70" s="4" t="s">
        <v>300</v>
      </c>
      <c r="E70" s="11" t="n">
        <v>200</v>
      </c>
      <c r="F70" s="11" t="s">
        <v>96</v>
      </c>
      <c r="G70" s="4" t="s">
        <v>301</v>
      </c>
      <c r="H70" s="11" t="n">
        <v>2024</v>
      </c>
      <c r="I70" s="4" t="s">
        <v>98</v>
      </c>
      <c r="J70" s="4" t="s">
        <v>302</v>
      </c>
      <c r="K70" s="4" t="s">
        <v>32</v>
      </c>
      <c r="L70" s="4" t="s">
        <v>49</v>
      </c>
      <c r="M70" s="12"/>
      <c r="P70" s="12"/>
      <c r="T70" s="14"/>
      <c r="Z70" s="12"/>
      <c r="AC70" s="12"/>
      <c r="AE70" s="12"/>
      <c r="AH70" t="n">
        <v>858</v>
      </c>
    </row>
    <row r="71" spans="1:34" ht="15.75" customHeight="1">
      <c r="A71" s="4" t="s">
        <v>303</v>
      </c>
      <c r="B71" s="4" t="s">
        <v>304</v>
      </c>
      <c r="C71" s="4" t="s">
        <v>94</v>
      </c>
      <c r="D71" s="4" t="s">
        <v>305</v>
      </c>
      <c r="E71" s="11" t="n">
        <v>200</v>
      </c>
      <c r="F71" s="11" t="s">
        <v>96</v>
      </c>
      <c r="G71" s="4" t="s">
        <v>301</v>
      </c>
      <c r="H71" s="11" t="n">
        <v>2024</v>
      </c>
      <c r="I71" s="4" t="s">
        <v>98</v>
      </c>
      <c r="J71" s="4" t="s">
        <v>302</v>
      </c>
      <c r="K71" s="4" t="s">
        <v>32</v>
      </c>
      <c r="L71" s="4" t="s">
        <v>49</v>
      </c>
      <c r="M71" s="12"/>
      <c r="P71" s="12"/>
      <c r="T71" s="14"/>
      <c r="Z71" s="12"/>
      <c r="AC71" s="12"/>
      <c r="AE71" s="12"/>
      <c r="AH71" t="n">
        <v>863</v>
      </c>
    </row>
    <row r="72" spans="1:34" ht="15.75" customHeight="1">
      <c r="A72" s="42" t="s">
        <v>306</v>
      </c>
      <c r="B72" s="4" t="s">
        <v>307</v>
      </c>
      <c r="C72" s="4" t="s">
        <v>113</v>
      </c>
      <c r="D72" s="4" t="s">
        <v>308</v>
      </c>
      <c r="E72" s="11" t="n">
        <v>50</v>
      </c>
      <c r="F72" s="11" t="s">
        <v>96</v>
      </c>
      <c r="G72" s="4" t="s">
        <v>301</v>
      </c>
      <c r="H72" s="11" t="n">
        <v>2025</v>
      </c>
      <c r="I72" s="4" t="s">
        <v>98</v>
      </c>
      <c r="J72" s="4" t="s">
        <v>33</v>
      </c>
      <c r="K72" s="4" t="s">
        <v>34</v>
      </c>
      <c r="L72" s="4" t="s">
        <v>49</v>
      </c>
      <c r="N72" s="12"/>
      <c r="P72" s="12"/>
      <c r="T72" s="14"/>
      <c r="Y72" s="9"/>
      <c r="AA72" s="12"/>
      <c r="AC72" s="12"/>
      <c r="AH72" s="3" t="n">
        <v>890</v>
      </c>
    </row>
    <row r="73" spans="1:34" ht="15.75" customHeight="1">
      <c r="A73" s="42" t="s">
        <v>309</v>
      </c>
      <c r="B73" s="4" t="s">
        <v>310</v>
      </c>
      <c r="C73" s="4" t="s">
        <v>113</v>
      </c>
      <c r="D73" s="4" t="s">
        <v>311</v>
      </c>
      <c r="E73" s="11" t="n">
        <v>50</v>
      </c>
      <c r="F73" s="11" t="s">
        <v>96</v>
      </c>
      <c r="G73" s="4" t="s">
        <v>301</v>
      </c>
      <c r="H73" s="11" t="n">
        <v>2026</v>
      </c>
      <c r="I73" s="4" t="s">
        <v>98</v>
      </c>
      <c r="J73" s="4" t="s">
        <v>33</v>
      </c>
      <c r="K73" s="4" t="s">
        <v>34</v>
      </c>
      <c r="L73" s="4" t="s">
        <v>49</v>
      </c>
      <c r="N73" s="12"/>
      <c r="P73" s="12"/>
      <c r="T73" s="14"/>
      <c r="Y73" s="9"/>
      <c r="AB73" s="12"/>
      <c r="AD73" s="12"/>
      <c r="AH73" s="3" t="n">
        <v>789</v>
      </c>
    </row>
    <row r="74" spans="1:34" ht="15.75" customHeight="1">
      <c r="A74" s="4" t="s">
        <v>312</v>
      </c>
      <c r="B74" s="4" t="s">
        <v>313</v>
      </c>
      <c r="C74" s="4" t="s">
        <v>94</v>
      </c>
      <c r="D74" s="4" t="s">
        <v>314</v>
      </c>
      <c r="E74" s="11" t="n">
        <v>100</v>
      </c>
      <c r="F74" s="11" t="s">
        <v>96</v>
      </c>
      <c r="G74" s="4" t="s">
        <v>301</v>
      </c>
      <c r="H74" s="11" t="n">
        <v>2027</v>
      </c>
      <c r="I74" s="4" t="s">
        <v>98</v>
      </c>
      <c r="J74" s="4" t="s">
        <v>33</v>
      </c>
      <c r="K74" s="4" t="s">
        <v>35</v>
      </c>
      <c r="L74" s="4" t="s">
        <v>49</v>
      </c>
      <c r="M74" s="12"/>
      <c r="P74" s="12"/>
      <c r="T74" s="14"/>
      <c r="Y74" s="9"/>
      <c r="Z74" s="12"/>
      <c r="AC74" s="12"/>
      <c r="AE74" s="12"/>
      <c r="AH74" t="n">
        <v>862</v>
      </c>
    </row>
    <row r="75" spans="1:34" ht="15.75" customHeight="1">
      <c r="A75" s="4" t="s">
        <v>315</v>
      </c>
      <c r="B75" s="4" t="s">
        <v>316</v>
      </c>
      <c r="C75" s="4" t="s">
        <v>94</v>
      </c>
      <c r="D75" s="4" t="s">
        <v>317</v>
      </c>
      <c r="E75" s="11" t="n">
        <v>100</v>
      </c>
      <c r="F75" s="11" t="s">
        <v>96</v>
      </c>
      <c r="G75" s="4" t="s">
        <v>301</v>
      </c>
      <c r="H75" s="11" t="n">
        <v>2028</v>
      </c>
      <c r="I75" s="4" t="s">
        <v>98</v>
      </c>
      <c r="J75" s="4" t="s">
        <v>33</v>
      </c>
      <c r="K75" s="4" t="s">
        <v>35</v>
      </c>
      <c r="L75" s="4" t="s">
        <v>49</v>
      </c>
      <c r="M75" s="12"/>
      <c r="P75" s="12"/>
      <c r="T75" s="14"/>
      <c r="Y75" s="9"/>
      <c r="Z75" s="12"/>
      <c r="AC75" s="12"/>
      <c r="AE75" s="12"/>
      <c r="AH75" s="3" t="n">
        <v>862</v>
      </c>
    </row>
    <row r="76" spans="1:34" ht="15.75" customHeight="1">
      <c r="A76" s="42" t="s">
        <v>318</v>
      </c>
      <c r="B76" s="4" t="s">
        <v>319</v>
      </c>
      <c r="C76" s="4" t="s">
        <v>113</v>
      </c>
      <c r="D76" s="4" t="s">
        <v>320</v>
      </c>
      <c r="E76" s="11" t="n">
        <v>40</v>
      </c>
      <c r="F76" s="11" t="s">
        <v>96</v>
      </c>
      <c r="G76" s="4" t="s">
        <v>321</v>
      </c>
      <c r="H76" s="11" t="n">
        <v>2029</v>
      </c>
      <c r="I76" s="4" t="s">
        <v>98</v>
      </c>
      <c r="J76" s="4" t="s">
        <v>28</v>
      </c>
      <c r="K76" s="4" t="s">
        <v>29</v>
      </c>
      <c r="L76" s="4" t="s">
        <v>49</v>
      </c>
      <c r="N76" s="12"/>
      <c r="P76" s="12"/>
      <c r="T76" s="14"/>
      <c r="Y76" s="9"/>
      <c r="AC76" s="12"/>
      <c r="AE76" s="12"/>
      <c r="AH76" s="3" t="n">
        <v>890</v>
      </c>
    </row>
    <row r="77" spans="1:34" ht="15.75" customHeight="1">
      <c r="A77" s="42" t="s">
        <v>322</v>
      </c>
      <c r="B77" s="4" t="s">
        <v>323</v>
      </c>
      <c r="C77" s="4" t="s">
        <v>113</v>
      </c>
      <c r="D77" s="4" t="s">
        <v>324</v>
      </c>
      <c r="E77" s="11" t="n">
        <v>40</v>
      </c>
      <c r="F77" s="11" t="s">
        <v>96</v>
      </c>
      <c r="G77" s="4" t="s">
        <v>321</v>
      </c>
      <c r="H77" s="11" t="n">
        <v>2030</v>
      </c>
      <c r="I77" s="4" t="s">
        <v>98</v>
      </c>
      <c r="J77" s="4" t="s">
        <v>28</v>
      </c>
      <c r="K77" s="4" t="s">
        <v>29</v>
      </c>
      <c r="L77" s="4" t="s">
        <v>49</v>
      </c>
      <c r="N77" s="12"/>
      <c r="P77" s="12"/>
      <c r="T77" s="14"/>
      <c r="Y77" s="9"/>
      <c r="AC77" s="12"/>
      <c r="AE77" s="12"/>
      <c r="AH77" s="3" t="n">
        <v>890</v>
      </c>
    </row>
    <row r="78" spans="1:34" ht="15.75" customHeight="1">
      <c r="A78" s="4" t="s">
        <v>325</v>
      </c>
      <c r="B78" s="4" t="s">
        <v>326</v>
      </c>
      <c r="C78" s="4" t="s">
        <v>94</v>
      </c>
      <c r="D78" s="4" t="s">
        <v>327</v>
      </c>
      <c r="E78" s="11" t="n">
        <v>80</v>
      </c>
      <c r="F78" s="11" t="s">
        <v>96</v>
      </c>
      <c r="G78" s="4" t="s">
        <v>321</v>
      </c>
      <c r="H78" s="11" t="n">
        <v>2031</v>
      </c>
      <c r="I78" s="4" t="s">
        <v>98</v>
      </c>
      <c r="J78" s="4" t="s">
        <v>28</v>
      </c>
      <c r="K78" s="4" t="s">
        <v>30</v>
      </c>
      <c r="L78" s="4" t="s">
        <v>49</v>
      </c>
      <c r="M78" s="12"/>
      <c r="P78" s="12"/>
      <c r="T78" s="14"/>
      <c r="Y78" s="9"/>
      <c r="Z78" s="12"/>
      <c r="AC78" s="12"/>
      <c r="AE78" s="12"/>
      <c r="AH78" s="3" t="n">
        <v>844</v>
      </c>
    </row>
    <row r="79" spans="1:34" ht="15.75" customHeight="1">
      <c r="A79" s="4" t="s">
        <v>328</v>
      </c>
      <c r="B79" s="4" t="s">
        <v>329</v>
      </c>
      <c r="C79" s="4" t="s">
        <v>94</v>
      </c>
      <c r="D79" s="4" t="s">
        <v>330</v>
      </c>
      <c r="E79" s="11" t="n">
        <v>80</v>
      </c>
      <c r="F79" s="11" t="s">
        <v>96</v>
      </c>
      <c r="G79" s="4" t="s">
        <v>321</v>
      </c>
      <c r="H79" s="11" t="n">
        <v>2032</v>
      </c>
      <c r="I79" s="4" t="s">
        <v>98</v>
      </c>
      <c r="J79" s="4" t="s">
        <v>28</v>
      </c>
      <c r="K79" s="4" t="s">
        <v>30</v>
      </c>
      <c r="L79" s="4" t="s">
        <v>49</v>
      </c>
      <c r="M79" s="12"/>
      <c r="P79" s="12"/>
      <c r="T79" s="14"/>
      <c r="Y79" s="9"/>
      <c r="Z79" s="12"/>
      <c r="AC79" s="12"/>
      <c r="AH79" s="3" t="n">
        <v>844</v>
      </c>
    </row>
    <row r="80" spans="1:34" ht="15.75" customHeight="1">
      <c r="A80" s="42" t="s">
        <v>331</v>
      </c>
      <c r="B80" s="4" t="s">
        <v>332</v>
      </c>
      <c r="C80" s="4" t="s">
        <v>113</v>
      </c>
      <c r="D80" s="4" t="s">
        <v>333</v>
      </c>
      <c r="E80" s="11" t="n">
        <v>1000</v>
      </c>
      <c r="F80" s="11" t="s">
        <v>334</v>
      </c>
      <c r="G80" s="4" t="s">
        <v>335</v>
      </c>
      <c r="H80" s="11" t="n">
        <v>2022</v>
      </c>
      <c r="I80" s="4" t="s">
        <v>98</v>
      </c>
      <c r="J80" s="4" t="s">
        <v>6</v>
      </c>
      <c r="K80" s="4" t="s">
        <v>7</v>
      </c>
      <c r="L80" s="4" t="s">
        <v>336</v>
      </c>
      <c r="O80" s="12"/>
      <c r="Q80" s="12"/>
      <c r="T80" s="14"/>
      <c r="Y80" s="9"/>
      <c r="AB80" s="12"/>
      <c r="AD80" s="12"/>
      <c r="AH80" t="n">
        <v>795</v>
      </c>
    </row>
    <row r="81" spans="1:34" ht="15.75" customHeight="1">
      <c r="A81" s="42" t="s">
        <v>337</v>
      </c>
      <c r="B81" s="4" t="s">
        <v>338</v>
      </c>
      <c r="C81" s="4" t="s">
        <v>113</v>
      </c>
      <c r="D81" s="4" t="s">
        <v>339</v>
      </c>
      <c r="E81" s="11" t="n">
        <v>650</v>
      </c>
      <c r="F81" s="11" t="s">
        <v>334</v>
      </c>
      <c r="G81" s="4" t="s">
        <v>340</v>
      </c>
      <c r="H81" s="11" t="n">
        <v>2022</v>
      </c>
      <c r="I81" s="4" t="s">
        <v>98</v>
      </c>
      <c r="J81" s="4" t="s">
        <v>6</v>
      </c>
      <c r="K81" s="4" t="s">
        <v>9</v>
      </c>
      <c r="L81" s="4" t="s">
        <v>336</v>
      </c>
      <c r="N81" s="12"/>
      <c r="P81" s="12"/>
      <c r="T81" s="14"/>
      <c r="U81" s="12"/>
      <c r="W81" s="12"/>
      <c r="Y81" s="9"/>
      <c r="AA81" s="12"/>
      <c r="AB81" s="12"/>
      <c r="AC81" s="12"/>
      <c r="AD81" s="12"/>
      <c r="AH81" t="n">
        <v>845</v>
      </c>
    </row>
    <row r="82" spans="1:34" ht="15.75" customHeight="1">
      <c r="A82" s="42" t="s">
        <v>341</v>
      </c>
      <c r="B82" s="4" t="s">
        <v>342</v>
      </c>
      <c r="C82" s="4" t="s">
        <v>113</v>
      </c>
      <c r="D82" s="4" t="s">
        <v>343</v>
      </c>
      <c r="E82" s="11" t="n">
        <v>250</v>
      </c>
      <c r="F82" s="11" t="s">
        <v>334</v>
      </c>
      <c r="G82" s="4" t="s">
        <v>340</v>
      </c>
      <c r="H82" s="11" t="n">
        <v>2022</v>
      </c>
      <c r="I82" s="4" t="s">
        <v>98</v>
      </c>
      <c r="J82" s="4" t="s">
        <v>6</v>
      </c>
      <c r="K82" s="4" t="s">
        <v>10</v>
      </c>
      <c r="L82" s="4" t="s">
        <v>336</v>
      </c>
      <c r="O82" s="12"/>
      <c r="Q82" s="12"/>
      <c r="T82" s="14"/>
      <c r="U82" s="12"/>
      <c r="W82" s="12"/>
      <c r="Y82" s="9"/>
      <c r="AA82" s="12"/>
      <c r="AB82" s="12"/>
      <c r="AC82" s="12"/>
      <c r="AD82" s="12"/>
      <c r="AH82" t="n">
        <v>829</v>
      </c>
    </row>
    <row r="83" spans="1:34" ht="15.75" customHeight="1">
      <c r="A83" s="42" t="s">
        <v>344</v>
      </c>
      <c r="B83" s="4" t="s">
        <v>345</v>
      </c>
      <c r="C83" s="4" t="s">
        <v>113</v>
      </c>
      <c r="D83" s="4" t="s">
        <v>346</v>
      </c>
      <c r="E83" s="11" t="n">
        <v>100</v>
      </c>
      <c r="F83" s="11" t="s">
        <v>334</v>
      </c>
      <c r="G83" s="4" t="s">
        <v>340</v>
      </c>
      <c r="H83" s="11" t="n">
        <v>2022</v>
      </c>
      <c r="I83" s="4" t="s">
        <v>98</v>
      </c>
      <c r="J83" s="4" t="s">
        <v>6</v>
      </c>
      <c r="K83" s="4" t="s">
        <v>11</v>
      </c>
      <c r="L83" s="4" t="s">
        <v>336</v>
      </c>
      <c r="N83" s="12"/>
      <c r="P83" s="12"/>
      <c r="T83" s="14"/>
      <c r="U83" s="12"/>
      <c r="W83" s="12"/>
      <c r="Y83" s="9"/>
      <c r="AA83" s="12"/>
      <c r="AC83" s="12"/>
      <c r="AH83" t="n">
        <v>859</v>
      </c>
    </row>
    <row r="84" spans="1:34" ht="15.75" customHeight="1">
      <c r="A84" s="42" t="s">
        <v>347</v>
      </c>
      <c r="B84" s="4" t="s">
        <v>348</v>
      </c>
      <c r="C84" s="4" t="s">
        <v>94</v>
      </c>
      <c r="D84" s="4" t="s">
        <v>349</v>
      </c>
      <c r="E84" s="11" t="n">
        <v>1000</v>
      </c>
      <c r="F84" s="11" t="s">
        <v>334</v>
      </c>
      <c r="G84" s="4" t="s">
        <v>340</v>
      </c>
      <c r="H84" s="11" t="n">
        <v>2022</v>
      </c>
      <c r="I84" s="4" t="s">
        <v>98</v>
      </c>
      <c r="J84" s="4" t="s">
        <v>6</v>
      </c>
      <c r="K84" s="4" t="s">
        <v>7</v>
      </c>
      <c r="L84" s="4" t="s">
        <v>336</v>
      </c>
      <c r="M84" s="12"/>
      <c r="P84" s="12"/>
      <c r="T84" s="15"/>
      <c r="W84" s="12"/>
      <c r="Y84" s="9"/>
      <c r="Z84" s="12"/>
      <c r="AE84" s="12"/>
      <c r="AH84" t="n">
        <v>816</v>
      </c>
    </row>
    <row r="85" spans="1:34" ht="15.75" customHeight="1">
      <c r="A85" s="42" t="s">
        <v>350</v>
      </c>
      <c r="B85" s="4" t="s">
        <v>351</v>
      </c>
      <c r="C85" s="4" t="s">
        <v>94</v>
      </c>
      <c r="D85" s="4" t="s">
        <v>352</v>
      </c>
      <c r="E85" s="11" t="n">
        <v>650</v>
      </c>
      <c r="F85" s="11" t="s">
        <v>334</v>
      </c>
      <c r="G85" s="4" t="s">
        <v>340</v>
      </c>
      <c r="H85" s="11" t="n">
        <v>2022</v>
      </c>
      <c r="I85" s="4" t="s">
        <v>98</v>
      </c>
      <c r="J85" s="4" t="s">
        <v>6</v>
      </c>
      <c r="K85" s="4" t="s">
        <v>9</v>
      </c>
      <c r="L85" s="4" t="s">
        <v>336</v>
      </c>
      <c r="M85" s="12"/>
      <c r="P85" s="12"/>
      <c r="T85" s="14"/>
      <c r="Y85" s="9"/>
      <c r="Z85" s="12"/>
      <c r="AE85" s="12"/>
      <c r="AH85" t="n">
        <v>774</v>
      </c>
    </row>
    <row r="86" spans="1:34" ht="15.75" customHeight="1">
      <c r="A86" s="42" t="s">
        <v>353</v>
      </c>
      <c r="B86" s="4" t="s">
        <v>354</v>
      </c>
      <c r="C86" s="4" t="s">
        <v>94</v>
      </c>
      <c r="D86" s="4" t="s">
        <v>355</v>
      </c>
      <c r="E86" s="11" t="n">
        <v>250</v>
      </c>
      <c r="F86" s="11" t="s">
        <v>334</v>
      </c>
      <c r="G86" s="4" t="s">
        <v>340</v>
      </c>
      <c r="H86" s="11" t="n">
        <v>2022</v>
      </c>
      <c r="I86" s="4" t="s">
        <v>98</v>
      </c>
      <c r="J86" s="4" t="s">
        <v>6</v>
      </c>
      <c r="K86" s="4" t="s">
        <v>10</v>
      </c>
      <c r="L86" s="4" t="s">
        <v>336</v>
      </c>
      <c r="M86" s="12"/>
      <c r="P86" s="12"/>
      <c r="T86" s="14"/>
      <c r="Y86" s="9"/>
      <c r="Z86" s="12"/>
      <c r="AE86" s="12"/>
      <c r="AH86" t="n">
        <v>674</v>
      </c>
    </row>
    <row r="87" spans="1:34" ht="15.75" customHeight="1">
      <c r="A87" s="42" t="s">
        <v>356</v>
      </c>
      <c r="B87" s="4" t="s">
        <v>357</v>
      </c>
      <c r="C87" s="4" t="s">
        <v>113</v>
      </c>
      <c r="D87" s="4" t="s">
        <v>358</v>
      </c>
      <c r="E87" s="11" t="n">
        <v>1000</v>
      </c>
      <c r="F87" s="11" t="s">
        <v>334</v>
      </c>
      <c r="G87" s="4" t="s">
        <v>340</v>
      </c>
      <c r="H87" s="11" t="n">
        <v>2022</v>
      </c>
      <c r="I87" s="4" t="s">
        <v>98</v>
      </c>
      <c r="J87" s="4" t="s">
        <v>6</v>
      </c>
      <c r="K87" s="4" t="s">
        <v>7</v>
      </c>
      <c r="L87" s="4" t="s">
        <v>336</v>
      </c>
      <c r="N87" s="12"/>
      <c r="P87" s="12"/>
      <c r="T87" s="14"/>
      <c r="U87" s="12"/>
      <c r="Y87" s="12"/>
      <c r="AA87" s="12"/>
      <c r="AE87" s="12"/>
      <c r="AH87" t="n">
        <v>697</v>
      </c>
    </row>
    <row r="88" spans="1:34" ht="15.75" customHeight="1">
      <c r="A88" s="42" t="s">
        <v>359</v>
      </c>
      <c r="B88" s="4" t="s">
        <v>360</v>
      </c>
      <c r="C88" s="4" t="s">
        <v>113</v>
      </c>
      <c r="D88" s="4" t="s">
        <v>361</v>
      </c>
      <c r="E88" s="11" t="n">
        <v>650</v>
      </c>
      <c r="F88" s="11" t="s">
        <v>334</v>
      </c>
      <c r="G88" s="4" t="s">
        <v>340</v>
      </c>
      <c r="H88" s="11" t="n">
        <v>2022</v>
      </c>
      <c r="I88" s="4" t="s">
        <v>98</v>
      </c>
      <c r="J88" s="4" t="s">
        <v>6</v>
      </c>
      <c r="K88" s="4" t="s">
        <v>9</v>
      </c>
      <c r="L88" s="4" t="s">
        <v>336</v>
      </c>
      <c r="N88" s="12"/>
      <c r="P88" s="12"/>
      <c r="T88" s="14"/>
      <c r="U88" s="12"/>
      <c r="W88" s="12"/>
      <c r="Y88" s="9"/>
      <c r="AA88" s="12"/>
      <c r="AC88" s="12"/>
      <c r="AH88" t="n">
        <v>846</v>
      </c>
    </row>
    <row r="89" spans="1:34" ht="15.75" customHeight="1">
      <c r="A89" s="42" t="s">
        <v>362</v>
      </c>
      <c r="B89" s="4" t="s">
        <v>363</v>
      </c>
      <c r="C89" s="4" t="s">
        <v>113</v>
      </c>
      <c r="D89" s="4" t="s">
        <v>364</v>
      </c>
      <c r="E89" s="11" t="n">
        <v>250</v>
      </c>
      <c r="F89" s="11" t="s">
        <v>334</v>
      </c>
      <c r="G89" s="4" t="s">
        <v>340</v>
      </c>
      <c r="H89" s="11" t="n">
        <v>2022</v>
      </c>
      <c r="I89" s="4" t="s">
        <v>98</v>
      </c>
      <c r="J89" s="4" t="s">
        <v>6</v>
      </c>
      <c r="K89" s="4" t="s">
        <v>10</v>
      </c>
      <c r="L89" s="4" t="s">
        <v>336</v>
      </c>
      <c r="N89" s="12"/>
      <c r="P89" s="12"/>
      <c r="T89" s="14"/>
      <c r="U89" s="12"/>
      <c r="W89" s="12"/>
      <c r="Y89" s="9"/>
      <c r="AA89" s="12"/>
      <c r="AC89" s="12"/>
      <c r="AH89" t="n">
        <v>849</v>
      </c>
    </row>
    <row r="90" spans="1:34" ht="15.75" customHeight="1">
      <c r="A90" s="42" t="s">
        <v>365</v>
      </c>
      <c r="B90" s="4" t="s">
        <v>366</v>
      </c>
      <c r="C90" s="4" t="s">
        <v>113</v>
      </c>
      <c r="D90" s="4" t="s">
        <v>367</v>
      </c>
      <c r="E90" s="11" t="n">
        <v>100</v>
      </c>
      <c r="F90" s="11" t="s">
        <v>334</v>
      </c>
      <c r="G90" s="4" t="s">
        <v>340</v>
      </c>
      <c r="H90" s="11" t="n">
        <v>2022</v>
      </c>
      <c r="I90" s="4" t="s">
        <v>98</v>
      </c>
      <c r="J90" s="4" t="s">
        <v>6</v>
      </c>
      <c r="K90" s="4" t="s">
        <v>11</v>
      </c>
      <c r="L90" s="4" t="s">
        <v>336</v>
      </c>
      <c r="N90" s="12"/>
      <c r="P90" s="12"/>
      <c r="T90" s="14"/>
      <c r="U90" s="12"/>
      <c r="W90" s="12"/>
      <c r="Y90" s="9"/>
      <c r="AA90" s="12"/>
      <c r="AC90" s="12"/>
      <c r="AH90" t="n">
        <v>852</v>
      </c>
    </row>
    <row r="91" spans="1:34" ht="15.75" customHeight="1">
      <c r="A91" s="42" t="s">
        <v>368</v>
      </c>
      <c r="B91" s="4" t="s">
        <v>369</v>
      </c>
      <c r="C91" s="4" t="s">
        <v>113</v>
      </c>
      <c r="D91" s="4" t="s">
        <v>370</v>
      </c>
      <c r="E91" s="11" t="n">
        <v>25</v>
      </c>
      <c r="F91" s="11" t="s">
        <v>334</v>
      </c>
      <c r="G91" s="4" t="s">
        <v>340</v>
      </c>
      <c r="H91" s="11" t="n">
        <v>2022</v>
      </c>
      <c r="I91" s="4" t="s">
        <v>98</v>
      </c>
      <c r="J91" s="4" t="s">
        <v>6</v>
      </c>
      <c r="K91" s="4" t="s">
        <v>12</v>
      </c>
      <c r="L91" s="4" t="s">
        <v>336</v>
      </c>
      <c r="N91" s="12"/>
      <c r="P91" s="12"/>
      <c r="T91" s="14"/>
      <c r="U91" s="12"/>
      <c r="W91" s="12"/>
      <c r="Y91" s="9"/>
      <c r="AA91" s="12"/>
      <c r="AC91" s="12"/>
      <c r="AH91" t="n">
        <v>847</v>
      </c>
    </row>
    <row r="92" spans="1:34" ht="15.75" customHeight="1">
      <c r="A92" s="42" t="s">
        <v>371</v>
      </c>
      <c r="B92" s="4" t="s">
        <v>372</v>
      </c>
      <c r="C92" s="4" t="s">
        <v>94</v>
      </c>
      <c r="D92" s="4" t="s">
        <v>373</v>
      </c>
      <c r="E92" s="11" t="n">
        <v>1000</v>
      </c>
      <c r="F92" s="11" t="s">
        <v>334</v>
      </c>
      <c r="G92" s="4" t="s">
        <v>340</v>
      </c>
      <c r="H92" s="11" t="n">
        <v>2022</v>
      </c>
      <c r="I92" s="4" t="s">
        <v>98</v>
      </c>
      <c r="J92" s="4" t="s">
        <v>6</v>
      </c>
      <c r="K92" s="4" t="s">
        <v>7</v>
      </c>
      <c r="L92" s="4" t="s">
        <v>336</v>
      </c>
      <c r="M92" s="12"/>
      <c r="P92" s="12"/>
      <c r="T92" s="14"/>
      <c r="Y92" s="9"/>
      <c r="Z92" s="12"/>
      <c r="AE92" s="12"/>
      <c r="AH92" t="n">
        <v>820</v>
      </c>
    </row>
    <row r="93" spans="1:34" ht="15.75" customHeight="1">
      <c r="A93" s="42" t="s">
        <v>374</v>
      </c>
      <c r="B93" s="4" t="s">
        <v>375</v>
      </c>
      <c r="C93" s="4" t="s">
        <v>94</v>
      </c>
      <c r="D93" s="4" t="s">
        <v>376</v>
      </c>
      <c r="E93" s="11" t="n">
        <v>650</v>
      </c>
      <c r="F93" s="11" t="s">
        <v>334</v>
      </c>
      <c r="G93" s="4" t="s">
        <v>340</v>
      </c>
      <c r="H93" s="11" t="n">
        <v>2022</v>
      </c>
      <c r="I93" s="4" t="s">
        <v>98</v>
      </c>
      <c r="J93" s="4" t="s">
        <v>6</v>
      </c>
      <c r="K93" s="4" t="s">
        <v>9</v>
      </c>
      <c r="L93" s="4" t="s">
        <v>336</v>
      </c>
      <c r="M93" s="12"/>
      <c r="P93" s="12"/>
      <c r="T93" s="12"/>
      <c r="W93" s="12"/>
      <c r="Y93" s="9"/>
      <c r="Z93" s="12"/>
      <c r="AE93" s="12"/>
      <c r="AH93" t="n">
        <v>820</v>
      </c>
    </row>
    <row r="94" spans="1:35" ht="15.75" customHeight="1">
      <c r="A94" s="42" t="s">
        <v>377</v>
      </c>
      <c r="B94" s="4" t="s">
        <v>378</v>
      </c>
      <c r="C94" s="4" t="s">
        <v>94</v>
      </c>
      <c r="D94" s="4" t="s">
        <v>379</v>
      </c>
      <c r="E94" s="11" t="n">
        <v>250</v>
      </c>
      <c r="F94" s="11" t="s">
        <v>334</v>
      </c>
      <c r="G94" s="4" t="s">
        <v>340</v>
      </c>
      <c r="H94" s="11" t="n">
        <v>2022</v>
      </c>
      <c r="I94" s="4" t="s">
        <v>98</v>
      </c>
      <c r="J94" s="4" t="s">
        <v>6</v>
      </c>
      <c r="K94" s="4" t="s">
        <v>10</v>
      </c>
      <c r="L94" s="4" t="s">
        <v>336</v>
      </c>
      <c r="M94" s="12"/>
      <c r="P94" s="12"/>
      <c r="T94" s="14"/>
      <c r="Y94" s="9"/>
      <c r="Z94" s="12"/>
      <c r="AE94" s="12"/>
      <c r="AH94" t="n">
        <v>832</v>
      </c>
      <c r="AI94"/>
    </row>
    <row r="95" spans="1:34" ht="15.75" customHeight="1">
      <c r="A95" s="42" t="s">
        <v>380</v>
      </c>
      <c r="B95" s="4" t="s">
        <v>381</v>
      </c>
      <c r="C95" s="4" t="s">
        <v>113</v>
      </c>
      <c r="D95" s="4" t="s">
        <v>382</v>
      </c>
      <c r="E95" s="11" t="n">
        <v>1000</v>
      </c>
      <c r="F95" s="11" t="s">
        <v>334</v>
      </c>
      <c r="G95" s="4" t="s">
        <v>340</v>
      </c>
      <c r="H95" s="11" t="n">
        <v>2022</v>
      </c>
      <c r="I95" s="4" t="s">
        <v>98</v>
      </c>
      <c r="J95" s="4" t="s">
        <v>6</v>
      </c>
      <c r="K95" s="4" t="s">
        <v>7</v>
      </c>
      <c r="L95" s="4" t="s">
        <v>336</v>
      </c>
      <c r="O95" s="12"/>
      <c r="Q95" s="12"/>
      <c r="T95" s="14"/>
      <c r="Y95" s="9"/>
      <c r="AB95" s="12"/>
      <c r="AD95" s="12"/>
      <c r="AH95" t="n">
        <v>796</v>
      </c>
    </row>
    <row r="96" spans="1:34" ht="15.75" customHeight="1">
      <c r="A96" s="42" t="s">
        <v>383</v>
      </c>
      <c r="B96" s="4" t="s">
        <v>384</v>
      </c>
      <c r="C96" s="4" t="s">
        <v>113</v>
      </c>
      <c r="D96" s="4" t="s">
        <v>385</v>
      </c>
      <c r="E96" s="11" t="n">
        <v>650</v>
      </c>
      <c r="F96" s="11" t="s">
        <v>334</v>
      </c>
      <c r="G96" s="4" t="s">
        <v>340</v>
      </c>
      <c r="H96" s="11" t="n">
        <v>2022</v>
      </c>
      <c r="I96" s="4" t="s">
        <v>98</v>
      </c>
      <c r="J96" s="4" t="s">
        <v>6</v>
      </c>
      <c r="K96" s="4" t="s">
        <v>9</v>
      </c>
      <c r="L96" s="4" t="s">
        <v>336</v>
      </c>
      <c r="O96" s="12"/>
      <c r="Q96" s="12"/>
      <c r="T96" s="14"/>
      <c r="Y96" s="9"/>
      <c r="AB96" s="12"/>
      <c r="AD96" s="12"/>
      <c r="AH96" t="n">
        <v>795</v>
      </c>
    </row>
    <row r="97" spans="1:34" ht="15.75" customHeight="1">
      <c r="A97" s="42" t="s">
        <v>386</v>
      </c>
      <c r="B97" s="4" t="s">
        <v>387</v>
      </c>
      <c r="C97" s="4" t="s">
        <v>113</v>
      </c>
      <c r="D97" s="4" t="s">
        <v>388</v>
      </c>
      <c r="E97" s="11" t="n">
        <v>250</v>
      </c>
      <c r="F97" s="11" t="s">
        <v>389</v>
      </c>
      <c r="G97" s="4" t="s">
        <v>340</v>
      </c>
      <c r="H97" s="11" t="n">
        <v>2022</v>
      </c>
      <c r="I97" s="4" t="s">
        <v>98</v>
      </c>
      <c r="J97" s="4" t="s">
        <v>6</v>
      </c>
      <c r="K97" s="4" t="s">
        <v>10</v>
      </c>
      <c r="L97" s="4" t="s">
        <v>390</v>
      </c>
      <c r="N97" s="12"/>
      <c r="O97" s="12"/>
      <c r="P97" s="12"/>
      <c r="Q97" s="12"/>
      <c r="T97" s="14"/>
      <c r="Y97" s="9"/>
      <c r="AA97" s="12"/>
      <c r="AB97" s="12"/>
      <c r="AC97" s="12"/>
      <c r="AD97" s="12"/>
      <c r="AH97" t="n">
        <v>889</v>
      </c>
    </row>
    <row r="98" spans="1:34" ht="15.75" customHeight="1">
      <c r="A98" s="42" t="s">
        <v>391</v>
      </c>
      <c r="B98" s="4" t="s">
        <v>392</v>
      </c>
      <c r="C98" s="4" t="s">
        <v>113</v>
      </c>
      <c r="D98" s="4" t="s">
        <v>393</v>
      </c>
      <c r="E98" s="11" t="n">
        <v>100</v>
      </c>
      <c r="F98" s="11" t="s">
        <v>96</v>
      </c>
      <c r="G98" s="4" t="s">
        <v>340</v>
      </c>
      <c r="H98" s="11" t="n">
        <v>2022</v>
      </c>
      <c r="I98" s="4" t="s">
        <v>98</v>
      </c>
      <c r="J98" s="4" t="s">
        <v>6</v>
      </c>
      <c r="K98" s="4" t="s">
        <v>11</v>
      </c>
      <c r="L98" s="4" t="s">
        <v>49</v>
      </c>
      <c r="N98" s="12"/>
      <c r="O98" s="12"/>
      <c r="P98" s="12"/>
      <c r="Q98" s="12"/>
      <c r="T98" s="14"/>
      <c r="Y98" s="9"/>
      <c r="AA98" s="12"/>
      <c r="AB98" s="12"/>
      <c r="AC98" s="12"/>
      <c r="AD98" s="12"/>
      <c r="AH98" t="n">
        <v>889</v>
      </c>
    </row>
    <row r="99" spans="1:34" ht="15.75" customHeight="1">
      <c r="A99" s="42" t="s">
        <v>394</v>
      </c>
      <c r="B99" s="4" t="s">
        <v>395</v>
      </c>
      <c r="C99" s="4" t="s">
        <v>113</v>
      </c>
      <c r="D99" s="4" t="s">
        <v>396</v>
      </c>
      <c r="E99" s="11" t="n">
        <v>25</v>
      </c>
      <c r="F99" s="11" t="s">
        <v>389</v>
      </c>
      <c r="G99" s="4" t="s">
        <v>340</v>
      </c>
      <c r="H99" s="11" t="n">
        <v>2022</v>
      </c>
      <c r="I99" s="4" t="s">
        <v>98</v>
      </c>
      <c r="J99" s="4" t="s">
        <v>6</v>
      </c>
      <c r="K99" s="4" t="s">
        <v>12</v>
      </c>
      <c r="L99" s="4" t="s">
        <v>390</v>
      </c>
      <c r="O99" s="12"/>
      <c r="Q99" s="12"/>
      <c r="T99" s="14"/>
      <c r="Y99" s="9"/>
      <c r="AB99" s="12"/>
      <c r="AD99" s="12"/>
      <c r="AH99" t="n">
        <v>878</v>
      </c>
    </row>
    <row r="100" spans="1:34" ht="15.75" customHeight="1">
      <c r="A100" s="42" t="s">
        <v>397</v>
      </c>
      <c r="B100" s="4" t="s">
        <v>398</v>
      </c>
      <c r="C100" s="4" t="s">
        <v>94</v>
      </c>
      <c r="D100" s="4" t="s">
        <v>399</v>
      </c>
      <c r="E100" s="11" t="n">
        <v>1000</v>
      </c>
      <c r="F100" s="11" t="s">
        <v>334</v>
      </c>
      <c r="G100" s="4" t="s">
        <v>340</v>
      </c>
      <c r="H100" s="11" t="n">
        <v>2022</v>
      </c>
      <c r="I100" s="4" t="s">
        <v>98</v>
      </c>
      <c r="J100" s="4" t="s">
        <v>6</v>
      </c>
      <c r="K100" s="4" t="s">
        <v>7</v>
      </c>
      <c r="L100" s="4" t="s">
        <v>336</v>
      </c>
      <c r="M100" s="12"/>
      <c r="P100" s="12"/>
      <c r="T100" s="14"/>
      <c r="Y100" s="9"/>
      <c r="Z100" s="12"/>
      <c r="AE100" s="12"/>
      <c r="AH100" t="n">
        <v>825</v>
      </c>
    </row>
    <row r="101" spans="1:34" ht="15.75" customHeight="1">
      <c r="A101" s="42" t="s">
        <v>400</v>
      </c>
      <c r="B101" s="4" t="s">
        <v>401</v>
      </c>
      <c r="C101" s="4" t="s">
        <v>94</v>
      </c>
      <c r="D101" s="4" t="s">
        <v>402</v>
      </c>
      <c r="E101" s="11" t="n">
        <v>650</v>
      </c>
      <c r="F101" s="11" t="s">
        <v>334</v>
      </c>
      <c r="G101" s="4" t="s">
        <v>340</v>
      </c>
      <c r="H101" s="11" t="n">
        <v>2022</v>
      </c>
      <c r="I101" s="4" t="s">
        <v>98</v>
      </c>
      <c r="J101" s="4" t="s">
        <v>6</v>
      </c>
      <c r="K101" s="4" t="s">
        <v>9</v>
      </c>
      <c r="L101" s="4" t="s">
        <v>336</v>
      </c>
      <c r="M101" s="12"/>
      <c r="P101" s="12"/>
      <c r="T101" s="14"/>
      <c r="Y101" s="9"/>
      <c r="Z101" s="12"/>
      <c r="AE101" s="12"/>
      <c r="AH101" t="n">
        <v>850</v>
      </c>
    </row>
    <row r="102" spans="1:34" ht="15.75" customHeight="1">
      <c r="A102" s="42" t="s">
        <v>403</v>
      </c>
      <c r="B102" s="4" t="s">
        <v>404</v>
      </c>
      <c r="C102" s="4" t="s">
        <v>94</v>
      </c>
      <c r="D102" s="4" t="s">
        <v>405</v>
      </c>
      <c r="E102" s="11" t="n">
        <v>250</v>
      </c>
      <c r="F102" s="11" t="s">
        <v>334</v>
      </c>
      <c r="G102" s="4" t="s">
        <v>340</v>
      </c>
      <c r="H102" s="11" t="n">
        <v>2022</v>
      </c>
      <c r="I102" s="4" t="s">
        <v>98</v>
      </c>
      <c r="J102" s="4" t="s">
        <v>6</v>
      </c>
      <c r="K102" s="4" t="s">
        <v>10</v>
      </c>
      <c r="L102" s="4" t="s">
        <v>336</v>
      </c>
      <c r="M102" s="12"/>
      <c r="P102" s="12"/>
      <c r="T102" s="14"/>
      <c r="Y102" s="9"/>
      <c r="Z102" s="12"/>
      <c r="AE102" s="12"/>
      <c r="AH102" t="n">
        <v>844</v>
      </c>
    </row>
    <row r="103" spans="1:34" ht="15.75" customHeight="1">
      <c r="A103" s="42" t="s">
        <v>406</v>
      </c>
      <c r="B103" s="4" t="s">
        <v>407</v>
      </c>
      <c r="C103" s="4" t="s">
        <v>113</v>
      </c>
      <c r="D103" s="4" t="s">
        <v>408</v>
      </c>
      <c r="E103" s="11" t="n">
        <v>1000</v>
      </c>
      <c r="F103" s="11" t="s">
        <v>334</v>
      </c>
      <c r="G103" s="4" t="s">
        <v>340</v>
      </c>
      <c r="H103" s="11" t="n">
        <v>2022</v>
      </c>
      <c r="I103" s="4" t="s">
        <v>98</v>
      </c>
      <c r="J103" s="4" t="s">
        <v>6</v>
      </c>
      <c r="K103" s="4" t="s">
        <v>7</v>
      </c>
      <c r="L103" s="4" t="s">
        <v>336</v>
      </c>
      <c r="O103" s="12"/>
      <c r="Q103" s="12"/>
      <c r="T103" s="14"/>
      <c r="Y103" s="9"/>
      <c r="AB103" s="12"/>
      <c r="AD103" s="12"/>
      <c r="AH103" t="n">
        <v>796</v>
      </c>
    </row>
    <row r="104" spans="1:34" ht="15.75" customHeight="1">
      <c r="A104" s="42" t="s">
        <v>409</v>
      </c>
      <c r="B104" s="4" t="s">
        <v>410</v>
      </c>
      <c r="C104" s="4" t="s">
        <v>113</v>
      </c>
      <c r="D104" s="4" t="s">
        <v>411</v>
      </c>
      <c r="E104" s="11" t="n">
        <v>650</v>
      </c>
      <c r="F104" s="11" t="s">
        <v>334</v>
      </c>
      <c r="G104" s="4" t="s">
        <v>340</v>
      </c>
      <c r="H104" s="11" t="n">
        <v>2022</v>
      </c>
      <c r="I104" s="4" t="s">
        <v>98</v>
      </c>
      <c r="J104" s="4" t="s">
        <v>6</v>
      </c>
      <c r="K104" s="4" t="s">
        <v>9</v>
      </c>
      <c r="L104" s="4" t="s">
        <v>336</v>
      </c>
      <c r="O104" s="12"/>
      <c r="Q104" s="12"/>
      <c r="T104" s="14"/>
      <c r="Y104" s="9"/>
      <c r="AB104" s="12"/>
      <c r="AD104" s="12"/>
      <c r="AH104" t="n">
        <v>789</v>
      </c>
    </row>
    <row r="105" spans="1:34" ht="15.75" customHeight="1">
      <c r="A105" s="42" t="s">
        <v>412</v>
      </c>
      <c r="B105" s="4" t="s">
        <v>413</v>
      </c>
      <c r="C105" s="4" t="s">
        <v>113</v>
      </c>
      <c r="D105" s="4" t="s">
        <v>414</v>
      </c>
      <c r="E105" s="11" t="n">
        <v>250</v>
      </c>
      <c r="F105" s="11" t="s">
        <v>334</v>
      </c>
      <c r="G105" s="4" t="s">
        <v>340</v>
      </c>
      <c r="H105" s="11" t="n">
        <v>2022</v>
      </c>
      <c r="I105" s="4" t="s">
        <v>98</v>
      </c>
      <c r="J105" s="4" t="s">
        <v>6</v>
      </c>
      <c r="K105" s="4" t="s">
        <v>10</v>
      </c>
      <c r="L105" s="4" t="s">
        <v>336</v>
      </c>
      <c r="O105" s="12"/>
      <c r="Q105" s="12"/>
      <c r="T105" s="14"/>
      <c r="Y105" s="9"/>
      <c r="AB105" s="12"/>
      <c r="AD105" s="12"/>
      <c r="AH105" t="n">
        <v>790</v>
      </c>
    </row>
    <row r="106" spans="1:34" ht="15.75" customHeight="1">
      <c r="A106" s="42" t="s">
        <v>415</v>
      </c>
      <c r="B106" s="4" t="s">
        <v>416</v>
      </c>
      <c r="C106" s="4" t="s">
        <v>113</v>
      </c>
      <c r="D106" s="4" t="s">
        <v>417</v>
      </c>
      <c r="E106" s="11" t="n">
        <v>100</v>
      </c>
      <c r="F106" s="11" t="s">
        <v>334</v>
      </c>
      <c r="G106" s="4" t="s">
        <v>340</v>
      </c>
      <c r="H106" s="11" t="n">
        <v>2022</v>
      </c>
      <c r="I106" s="4" t="s">
        <v>98</v>
      </c>
      <c r="J106" s="4" t="s">
        <v>6</v>
      </c>
      <c r="K106" s="4" t="s">
        <v>11</v>
      </c>
      <c r="L106" s="4" t="s">
        <v>336</v>
      </c>
      <c r="O106" s="12"/>
      <c r="Q106" s="12"/>
      <c r="T106" s="14"/>
      <c r="Y106" s="9"/>
      <c r="AB106" s="12"/>
      <c r="AD106" s="12"/>
      <c r="AH106" t="n">
        <v>795</v>
      </c>
    </row>
    <row r="107" spans="1:34" ht="15.75" customHeight="1">
      <c r="A107" s="42" t="s">
        <v>418</v>
      </c>
      <c r="B107" s="4" t="s">
        <v>419</v>
      </c>
      <c r="C107" s="4" t="s">
        <v>113</v>
      </c>
      <c r="D107" s="4" t="s">
        <v>420</v>
      </c>
      <c r="E107" s="11" t="n">
        <v>25</v>
      </c>
      <c r="F107" s="11" t="s">
        <v>334</v>
      </c>
      <c r="G107" s="4" t="s">
        <v>340</v>
      </c>
      <c r="H107" s="11" t="n">
        <v>2022</v>
      </c>
      <c r="I107" s="4" t="s">
        <v>98</v>
      </c>
      <c r="J107" s="4" t="s">
        <v>6</v>
      </c>
      <c r="K107" s="4" t="s">
        <v>12</v>
      </c>
      <c r="L107" s="4" t="s">
        <v>336</v>
      </c>
      <c r="O107" s="12"/>
      <c r="Q107" s="12"/>
      <c r="T107" s="14"/>
      <c r="Y107" s="9"/>
      <c r="AB107" s="12"/>
      <c r="AD107" s="12"/>
      <c r="AH107" t="n">
        <v>771</v>
      </c>
    </row>
    <row r="108" spans="1:34" ht="15.75" customHeight="1">
      <c r="A108" s="42" t="s">
        <v>421</v>
      </c>
      <c r="B108" s="4" t="s">
        <v>422</v>
      </c>
      <c r="C108" s="4" t="s">
        <v>94</v>
      </c>
      <c r="D108" s="4" t="s">
        <v>423</v>
      </c>
      <c r="E108" s="11" t="n">
        <v>1000</v>
      </c>
      <c r="F108" s="11" t="s">
        <v>334</v>
      </c>
      <c r="G108" s="4" t="s">
        <v>340</v>
      </c>
      <c r="H108" s="11" t="n">
        <v>2022</v>
      </c>
      <c r="I108" s="4" t="s">
        <v>98</v>
      </c>
      <c r="J108" s="4" t="s">
        <v>6</v>
      </c>
      <c r="K108" s="4" t="s">
        <v>7</v>
      </c>
      <c r="L108" s="4" t="s">
        <v>336</v>
      </c>
      <c r="M108" s="12"/>
      <c r="P108" s="12"/>
      <c r="T108" s="14"/>
      <c r="Y108" s="9"/>
      <c r="Z108" s="12"/>
      <c r="AE108" s="12"/>
      <c r="AH108" t="n">
        <v>837</v>
      </c>
    </row>
    <row r="109" spans="1:34" ht="15.75" customHeight="1">
      <c r="A109" s="42" t="s">
        <v>424</v>
      </c>
      <c r="B109" s="4" t="s">
        <v>425</v>
      </c>
      <c r="C109" s="4" t="s">
        <v>113</v>
      </c>
      <c r="D109" s="4" t="s">
        <v>426</v>
      </c>
      <c r="E109" s="11" t="n">
        <v>650</v>
      </c>
      <c r="F109" s="11" t="s">
        <v>389</v>
      </c>
      <c r="G109" s="4" t="s">
        <v>340</v>
      </c>
      <c r="H109" s="11" t="n">
        <v>2022</v>
      </c>
      <c r="I109" s="4" t="s">
        <v>98</v>
      </c>
      <c r="J109" s="4" t="s">
        <v>6</v>
      </c>
      <c r="K109" s="4" t="s">
        <v>9</v>
      </c>
      <c r="L109" s="4" t="s">
        <v>336</v>
      </c>
      <c r="M109" s="12"/>
      <c r="N109" s="12"/>
      <c r="O109" s="12"/>
      <c r="P109" s="12"/>
      <c r="Q109" s="12"/>
      <c r="T109" s="14"/>
      <c r="Y109" s="9"/>
      <c r="Z109" s="12"/>
      <c r="AA109" s="12"/>
      <c r="AB109" s="12"/>
      <c r="AC109" s="12"/>
      <c r="AD109" s="12"/>
      <c r="AH109" t="n">
        <v>889</v>
      </c>
    </row>
    <row r="110" spans="1:34" ht="15.75" customHeight="1">
      <c r="A110" s="42" t="s">
        <v>427</v>
      </c>
      <c r="B110" s="4" t="s">
        <v>428</v>
      </c>
      <c r="C110" s="4" t="s">
        <v>94</v>
      </c>
      <c r="D110" s="4" t="s">
        <v>429</v>
      </c>
      <c r="E110" s="11" t="n">
        <v>250</v>
      </c>
      <c r="F110" s="11" t="s">
        <v>334</v>
      </c>
      <c r="G110" s="4" t="s">
        <v>340</v>
      </c>
      <c r="H110" s="11" t="n">
        <v>2022</v>
      </c>
      <c r="I110" s="4" t="s">
        <v>98</v>
      </c>
      <c r="J110" s="4" t="s">
        <v>6</v>
      </c>
      <c r="K110" s="4" t="s">
        <v>10</v>
      </c>
      <c r="L110" s="4" t="s">
        <v>336</v>
      </c>
      <c r="M110" s="12"/>
      <c r="P110" s="12"/>
      <c r="T110" s="14"/>
      <c r="Y110" s="9"/>
      <c r="Z110" s="12"/>
      <c r="AE110" s="12"/>
      <c r="AH110" t="n">
        <v>853</v>
      </c>
    </row>
    <row r="111" spans="1:34" ht="15.75" customHeight="1">
      <c r="A111" s="42" t="s">
        <v>430</v>
      </c>
      <c r="B111" s="4" t="s">
        <v>431</v>
      </c>
      <c r="C111" s="4" t="s">
        <v>113</v>
      </c>
      <c r="D111" s="4" t="s">
        <v>432</v>
      </c>
      <c r="E111" s="11" t="n">
        <v>1000</v>
      </c>
      <c r="F111" s="11" t="s">
        <v>334</v>
      </c>
      <c r="G111" s="4" t="s">
        <v>340</v>
      </c>
      <c r="H111" s="11" t="n">
        <v>2022</v>
      </c>
      <c r="I111" s="4" t="s">
        <v>98</v>
      </c>
      <c r="J111" s="4" t="s">
        <v>6</v>
      </c>
      <c r="K111" s="4" t="s">
        <v>7</v>
      </c>
      <c r="L111" s="4" t="s">
        <v>336</v>
      </c>
      <c r="O111" s="12"/>
      <c r="Q111" s="12"/>
      <c r="T111" s="14"/>
      <c r="Y111" s="9"/>
      <c r="AB111" s="12"/>
      <c r="AD111" s="12"/>
      <c r="AH111" t="n">
        <v>775</v>
      </c>
    </row>
    <row r="112" spans="1:34" ht="15.75" customHeight="1">
      <c r="A112" s="42" t="s">
        <v>433</v>
      </c>
      <c r="B112" s="4" t="s">
        <v>434</v>
      </c>
      <c r="C112" s="4" t="s">
        <v>113</v>
      </c>
      <c r="D112" s="4" t="s">
        <v>435</v>
      </c>
      <c r="E112" s="11" t="n">
        <v>1000</v>
      </c>
      <c r="F112" s="11" t="s">
        <v>334</v>
      </c>
      <c r="G112" s="4" t="s">
        <v>340</v>
      </c>
      <c r="H112" s="11" t="n">
        <v>2022</v>
      </c>
      <c r="I112" s="4" t="s">
        <v>98</v>
      </c>
      <c r="J112" s="4" t="s">
        <v>6</v>
      </c>
      <c r="K112" s="4" t="s">
        <v>7</v>
      </c>
      <c r="L112" s="4" t="s">
        <v>336</v>
      </c>
      <c r="O112" s="12"/>
      <c r="Q112" s="12"/>
      <c r="T112" s="14"/>
      <c r="Y112" s="9"/>
      <c r="AB112" s="12"/>
      <c r="AD112" s="12"/>
      <c r="AH112" t="n">
        <v>801</v>
      </c>
    </row>
    <row r="113" spans="1:34" ht="15.75" customHeight="1">
      <c r="A113" s="42" t="s">
        <v>436</v>
      </c>
      <c r="B113" s="4" t="s">
        <v>437</v>
      </c>
      <c r="C113" s="4" t="s">
        <v>113</v>
      </c>
      <c r="D113" s="4" t="s">
        <v>438</v>
      </c>
      <c r="E113" s="11" t="n">
        <v>25</v>
      </c>
      <c r="F113" s="11" t="s">
        <v>334</v>
      </c>
      <c r="G113" s="4" t="s">
        <v>340</v>
      </c>
      <c r="H113" s="11" t="n">
        <v>2022</v>
      </c>
      <c r="I113" s="4" t="s">
        <v>98</v>
      </c>
      <c r="J113" s="4" t="s">
        <v>6</v>
      </c>
      <c r="K113" s="4" t="s">
        <v>12</v>
      </c>
      <c r="L113" s="4" t="s">
        <v>336</v>
      </c>
      <c r="O113" s="12"/>
      <c r="Q113" s="12"/>
      <c r="T113" s="14"/>
      <c r="Y113" s="9"/>
      <c r="AB113" s="12"/>
      <c r="AD113" s="12"/>
      <c r="AH113" t="n">
        <v>807</v>
      </c>
    </row>
    <row r="114" spans="1:34" ht="15.75" customHeight="1">
      <c r="A114" s="42" t="s">
        <v>439</v>
      </c>
      <c r="B114" s="4" t="s">
        <v>440</v>
      </c>
      <c r="C114" s="4" t="s">
        <v>94</v>
      </c>
      <c r="D114" s="4" t="s">
        <v>441</v>
      </c>
      <c r="E114" s="11" t="n">
        <v>1000</v>
      </c>
      <c r="F114" s="11" t="s">
        <v>334</v>
      </c>
      <c r="G114" s="4" t="s">
        <v>340</v>
      </c>
      <c r="H114" s="11" t="n">
        <v>2022</v>
      </c>
      <c r="I114" s="4" t="s">
        <v>98</v>
      </c>
      <c r="J114" s="4" t="s">
        <v>6</v>
      </c>
      <c r="K114" s="4" t="s">
        <v>7</v>
      </c>
      <c r="L114" s="4" t="s">
        <v>336</v>
      </c>
      <c r="M114" s="12"/>
      <c r="P114" s="12"/>
      <c r="T114" s="14"/>
      <c r="Y114" s="9"/>
      <c r="Z114" s="12"/>
      <c r="AE114" s="12"/>
      <c r="AH114" t="n">
        <v>834</v>
      </c>
    </row>
    <row r="115" spans="1:34" ht="15.75" customHeight="1">
      <c r="A115" s="42" t="s">
        <v>442</v>
      </c>
      <c r="B115" s="4" t="s">
        <v>443</v>
      </c>
      <c r="C115" s="4" t="s">
        <v>94</v>
      </c>
      <c r="D115" s="4" t="s">
        <v>444</v>
      </c>
      <c r="E115" s="11" t="n">
        <v>100</v>
      </c>
      <c r="F115" s="11" t="s">
        <v>334</v>
      </c>
      <c r="G115" s="4" t="s">
        <v>340</v>
      </c>
      <c r="H115" s="11" t="n">
        <v>2022</v>
      </c>
      <c r="I115" s="4" t="s">
        <v>98</v>
      </c>
      <c r="J115" s="4" t="s">
        <v>6</v>
      </c>
      <c r="K115" s="4" t="s">
        <v>11</v>
      </c>
      <c r="L115" s="4" t="s">
        <v>336</v>
      </c>
      <c r="M115" s="12"/>
      <c r="P115" s="12"/>
      <c r="T115" s="14"/>
      <c r="Y115" s="9"/>
      <c r="Z115" s="12"/>
      <c r="AE115" s="12"/>
      <c r="AH115" t="n">
        <v>850</v>
      </c>
    </row>
    <row r="116" spans="1:34" ht="15.75" customHeight="1">
      <c r="A116" s="42" t="s">
        <v>445</v>
      </c>
      <c r="B116" s="4" t="s">
        <v>446</v>
      </c>
      <c r="C116" s="4" t="s">
        <v>94</v>
      </c>
      <c r="D116" s="4" t="s">
        <v>447</v>
      </c>
      <c r="E116" s="11" t="n">
        <v>100</v>
      </c>
      <c r="F116" s="11" t="s">
        <v>334</v>
      </c>
      <c r="G116" s="4" t="s">
        <v>340</v>
      </c>
      <c r="H116" s="11" t="n">
        <v>2022</v>
      </c>
      <c r="I116" s="4" t="s">
        <v>98</v>
      </c>
      <c r="J116" s="4" t="s">
        <v>6</v>
      </c>
      <c r="K116" s="4" t="s">
        <v>11</v>
      </c>
      <c r="L116" s="4" t="s">
        <v>336</v>
      </c>
      <c r="M116" s="12"/>
      <c r="P116" s="12"/>
      <c r="T116" s="14"/>
      <c r="Y116" s="9"/>
      <c r="Z116" s="12"/>
      <c r="AE116" s="12"/>
      <c r="AH116" t="n">
        <v>831</v>
      </c>
    </row>
    <row r="117" spans="1:34" ht="15.75" customHeight="1">
      <c r="A117" s="42" t="s">
        <v>448</v>
      </c>
      <c r="B117" s="4" t="s">
        <v>449</v>
      </c>
      <c r="C117" s="4" t="s">
        <v>94</v>
      </c>
      <c r="D117" s="4" t="s">
        <v>450</v>
      </c>
      <c r="E117" s="11" t="n">
        <v>100</v>
      </c>
      <c r="F117" s="11" t="s">
        <v>334</v>
      </c>
      <c r="G117" s="4" t="s">
        <v>340</v>
      </c>
      <c r="H117" s="11" t="n">
        <v>2022</v>
      </c>
      <c r="I117" s="4" t="s">
        <v>98</v>
      </c>
      <c r="J117" s="4" t="s">
        <v>6</v>
      </c>
      <c r="K117" s="4" t="s">
        <v>11</v>
      </c>
      <c r="L117" s="4" t="s">
        <v>336</v>
      </c>
      <c r="M117" s="12"/>
      <c r="P117" s="12"/>
      <c r="T117" s="14"/>
      <c r="Y117" s="9"/>
      <c r="Z117" s="12"/>
      <c r="AE117" s="12"/>
      <c r="AH117" t="n">
        <v>824</v>
      </c>
    </row>
    <row r="118" spans="1:34" ht="15.75" customHeight="1">
      <c r="A118" s="42" t="s">
        <v>451</v>
      </c>
      <c r="B118" s="4" t="s">
        <v>452</v>
      </c>
      <c r="C118" s="4" t="s">
        <v>94</v>
      </c>
      <c r="D118" s="4" t="s">
        <v>453</v>
      </c>
      <c r="E118" s="11" t="n">
        <v>100</v>
      </c>
      <c r="F118" s="11" t="s">
        <v>334</v>
      </c>
      <c r="G118" s="4" t="s">
        <v>340</v>
      </c>
      <c r="H118" s="11" t="n">
        <v>2022</v>
      </c>
      <c r="I118" s="4" t="s">
        <v>98</v>
      </c>
      <c r="J118" s="4" t="s">
        <v>6</v>
      </c>
      <c r="K118" s="4" t="s">
        <v>11</v>
      </c>
      <c r="L118" s="4" t="s">
        <v>336</v>
      </c>
      <c r="M118" s="12"/>
      <c r="P118" s="12"/>
      <c r="T118" s="14"/>
      <c r="Y118" s="9"/>
      <c r="Z118" s="12"/>
      <c r="AE118" s="12"/>
      <c r="AH118" t="n">
        <v>823</v>
      </c>
    </row>
    <row r="119" spans="1:34" ht="15.75" customHeight="1">
      <c r="A119" s="42" t="s">
        <v>454</v>
      </c>
      <c r="B119" s="4" t="s">
        <v>455</v>
      </c>
      <c r="C119" s="4" t="s">
        <v>113</v>
      </c>
      <c r="D119" s="4" t="s">
        <v>456</v>
      </c>
      <c r="E119" s="11" t="n">
        <v>1000</v>
      </c>
      <c r="F119" s="11" t="s">
        <v>334</v>
      </c>
      <c r="G119" s="4" t="s">
        <v>340</v>
      </c>
      <c r="H119" s="11" t="n">
        <v>2022</v>
      </c>
      <c r="I119" s="4" t="s">
        <v>98</v>
      </c>
      <c r="J119" s="4" t="s">
        <v>6</v>
      </c>
      <c r="K119" s="4" t="s">
        <v>7</v>
      </c>
      <c r="L119" s="4" t="s">
        <v>336</v>
      </c>
      <c r="O119" s="12"/>
      <c r="Q119" s="12"/>
      <c r="T119" s="14"/>
      <c r="Y119" s="9"/>
      <c r="AB119" s="12"/>
      <c r="AD119" s="12"/>
      <c r="AH119" t="n">
        <v>780</v>
      </c>
    </row>
    <row r="120" spans="1:34" ht="15.75" customHeight="1">
      <c r="A120" s="42" t="s">
        <v>457</v>
      </c>
      <c r="B120" s="4" t="s">
        <v>458</v>
      </c>
      <c r="C120" s="4" t="s">
        <v>113</v>
      </c>
      <c r="D120" s="4" t="s">
        <v>459</v>
      </c>
      <c r="E120" s="11" t="n">
        <v>650</v>
      </c>
      <c r="F120" s="11" t="s">
        <v>334</v>
      </c>
      <c r="G120" s="4" t="s">
        <v>340</v>
      </c>
      <c r="H120" s="11" t="n">
        <v>2022</v>
      </c>
      <c r="I120" s="4" t="s">
        <v>98</v>
      </c>
      <c r="J120" s="4" t="s">
        <v>6</v>
      </c>
      <c r="K120" s="4" t="s">
        <v>9</v>
      </c>
      <c r="L120" s="4" t="s">
        <v>336</v>
      </c>
      <c r="O120" s="12"/>
      <c r="Q120" s="12"/>
      <c r="T120" s="14"/>
      <c r="Y120" s="9"/>
      <c r="AB120" s="12"/>
      <c r="AD120" s="12"/>
      <c r="AH120" t="n">
        <v>796</v>
      </c>
    </row>
    <row r="121" spans="1:34" ht="15.75" customHeight="1">
      <c r="A121" s="42" t="s">
        <v>460</v>
      </c>
      <c r="B121" s="4" t="s">
        <v>461</v>
      </c>
      <c r="C121" s="4" t="s">
        <v>113</v>
      </c>
      <c r="D121" s="4" t="s">
        <v>462</v>
      </c>
      <c r="E121" s="11" t="n">
        <v>250</v>
      </c>
      <c r="F121" s="11" t="s">
        <v>334</v>
      </c>
      <c r="G121" s="4" t="s">
        <v>340</v>
      </c>
      <c r="H121" s="11" t="n">
        <v>2022</v>
      </c>
      <c r="I121" s="4" t="s">
        <v>98</v>
      </c>
      <c r="J121" s="4" t="s">
        <v>6</v>
      </c>
      <c r="K121" s="4" t="s">
        <v>10</v>
      </c>
      <c r="L121" s="4" t="s">
        <v>336</v>
      </c>
      <c r="O121" s="12"/>
      <c r="Q121" s="12"/>
      <c r="T121" s="14"/>
      <c r="Y121" s="9"/>
      <c r="AB121" s="12"/>
      <c r="AD121" s="12"/>
      <c r="AH121" t="n">
        <v>808</v>
      </c>
    </row>
    <row r="122" spans="1:34" ht="15.75" customHeight="1">
      <c r="A122" s="42" t="s">
        <v>463</v>
      </c>
      <c r="B122" s="4" t="s">
        <v>464</v>
      </c>
      <c r="C122" s="4" t="s">
        <v>113</v>
      </c>
      <c r="D122" s="4" t="s">
        <v>465</v>
      </c>
      <c r="E122" s="11" t="n">
        <v>100</v>
      </c>
      <c r="F122" s="11" t="s">
        <v>334</v>
      </c>
      <c r="G122" s="4" t="s">
        <v>340</v>
      </c>
      <c r="H122" s="11" t="n">
        <v>2022</v>
      </c>
      <c r="I122" s="4" t="s">
        <v>98</v>
      </c>
      <c r="J122" s="4" t="s">
        <v>6</v>
      </c>
      <c r="K122" s="4" t="s">
        <v>11</v>
      </c>
      <c r="L122" s="4" t="s">
        <v>336</v>
      </c>
      <c r="O122" s="12"/>
      <c r="Q122" s="12"/>
      <c r="T122" s="14"/>
      <c r="Y122" s="9"/>
      <c r="AB122" s="12"/>
      <c r="AD122" s="12"/>
      <c r="AH122" t="n">
        <v>801</v>
      </c>
    </row>
    <row r="123" spans="1:34" ht="15.75" customHeight="1">
      <c r="A123" s="42" t="s">
        <v>466</v>
      </c>
      <c r="B123" s="4" t="s">
        <v>467</v>
      </c>
      <c r="C123" s="4" t="s">
        <v>94</v>
      </c>
      <c r="D123" s="4" t="s">
        <v>468</v>
      </c>
      <c r="E123" s="11" t="n">
        <v>1000</v>
      </c>
      <c r="F123" s="11" t="s">
        <v>334</v>
      </c>
      <c r="G123" s="4" t="s">
        <v>340</v>
      </c>
      <c r="H123" s="11" t="n">
        <v>2022</v>
      </c>
      <c r="I123" s="4" t="s">
        <v>98</v>
      </c>
      <c r="J123" s="4" t="s">
        <v>6</v>
      </c>
      <c r="K123" s="4" t="s">
        <v>7</v>
      </c>
      <c r="L123" s="4" t="s">
        <v>336</v>
      </c>
      <c r="M123" s="12"/>
      <c r="P123" s="12"/>
      <c r="T123" s="14"/>
      <c r="Y123" s="9"/>
      <c r="Z123" s="12"/>
      <c r="AE123" s="12"/>
      <c r="AH123" t="n">
        <v>833</v>
      </c>
    </row>
    <row r="124" spans="1:34" ht="15.75" customHeight="1">
      <c r="A124" s="42" t="s">
        <v>469</v>
      </c>
      <c r="B124" s="4" t="s">
        <v>470</v>
      </c>
      <c r="C124" s="4" t="s">
        <v>94</v>
      </c>
      <c r="D124" s="4" t="s">
        <v>471</v>
      </c>
      <c r="E124" s="11" t="n">
        <v>650</v>
      </c>
      <c r="F124" s="11" t="s">
        <v>334</v>
      </c>
      <c r="G124" s="4" t="s">
        <v>340</v>
      </c>
      <c r="H124" s="11" t="n">
        <v>2022</v>
      </c>
      <c r="I124" s="4" t="s">
        <v>98</v>
      </c>
      <c r="J124" s="4" t="s">
        <v>6</v>
      </c>
      <c r="K124" s="4" t="s">
        <v>9</v>
      </c>
      <c r="L124" s="4" t="s">
        <v>336</v>
      </c>
      <c r="M124" s="12"/>
      <c r="P124" s="12"/>
      <c r="T124" s="14"/>
      <c r="Y124" s="9"/>
      <c r="Z124" s="12"/>
      <c r="AE124" s="12"/>
      <c r="AH124" t="n">
        <v>858</v>
      </c>
    </row>
    <row r="125" spans="1:34" ht="15.75" customHeight="1">
      <c r="A125" s="42" t="s">
        <v>472</v>
      </c>
      <c r="B125" s="4" t="s">
        <v>473</v>
      </c>
      <c r="C125" s="4" t="s">
        <v>94</v>
      </c>
      <c r="D125" s="4" t="s">
        <v>474</v>
      </c>
      <c r="E125" s="11" t="n">
        <v>250</v>
      </c>
      <c r="F125" s="11" t="s">
        <v>334</v>
      </c>
      <c r="G125" s="4" t="s">
        <v>340</v>
      </c>
      <c r="H125" s="11" t="n">
        <v>2022</v>
      </c>
      <c r="I125" s="4" t="s">
        <v>98</v>
      </c>
      <c r="J125" s="4" t="s">
        <v>6</v>
      </c>
      <c r="K125" s="4" t="s">
        <v>10</v>
      </c>
      <c r="L125" s="4" t="s">
        <v>336</v>
      </c>
      <c r="M125" s="12"/>
      <c r="P125" s="12"/>
      <c r="T125" s="14"/>
      <c r="Y125" s="9"/>
      <c r="Z125" s="12"/>
      <c r="AE125" s="12"/>
      <c r="AH125" t="n">
        <v>822</v>
      </c>
    </row>
    <row r="126" spans="1:34" ht="15.75" customHeight="1">
      <c r="A126" s="42" t="s">
        <v>475</v>
      </c>
      <c r="B126" s="4" t="s">
        <v>476</v>
      </c>
      <c r="C126" s="4" t="s">
        <v>94</v>
      </c>
      <c r="D126" s="4" t="s">
        <v>477</v>
      </c>
      <c r="E126" s="11" t="n">
        <v>100</v>
      </c>
      <c r="F126" s="11" t="s">
        <v>334</v>
      </c>
      <c r="G126" s="4" t="s">
        <v>340</v>
      </c>
      <c r="H126" s="11" t="n">
        <v>2022</v>
      </c>
      <c r="I126" s="4" t="s">
        <v>98</v>
      </c>
      <c r="J126" s="4" t="s">
        <v>6</v>
      </c>
      <c r="K126" s="4" t="s">
        <v>11</v>
      </c>
      <c r="L126" s="4" t="s">
        <v>336</v>
      </c>
      <c r="M126" s="12"/>
      <c r="P126" s="12"/>
      <c r="T126" s="14"/>
      <c r="Y126" s="9"/>
      <c r="Z126" s="12"/>
      <c r="AE126" s="12"/>
      <c r="AH126" t="n">
        <v>806</v>
      </c>
    </row>
    <row r="127" spans="1:34" s="50" customFormat="1" ht="14.40" customHeight="1">
      <c r="A127" s="43"/>
      <c r="B127" s="44"/>
      <c r="C127" s="44"/>
      <c r="D127" s="44"/>
      <c r="E127" s="45"/>
      <c r="F127" s="45"/>
      <c r="G127" s="44"/>
      <c r="H127" s="46"/>
      <c r="I127" s="44"/>
      <c r="J127" s="44"/>
      <c r="K127" s="43"/>
      <c r="L127" s="47"/>
      <c r="M127" s="44"/>
      <c r="N127" s="44"/>
      <c r="O127" s="44"/>
      <c r="P127" s="44"/>
      <c r="Q127" s="44"/>
      <c r="R127" s="44"/>
      <c r="S127" s="44"/>
      <c r="T127" s="48"/>
      <c r="U127" s="44"/>
      <c r="V127" s="44"/>
      <c r="W127" s="44"/>
      <c r="X127" s="44"/>
      <c r="Y127" s="49"/>
      <c r="Z127" s="44"/>
      <c r="AA127" s="44"/>
      <c r="AB127" s="44"/>
      <c r="AC127" s="44"/>
      <c r="AD127" s="44"/>
      <c r="AE127" s="44"/>
      <c r="AF127" s="44"/>
      <c r="AG127" s="44"/>
    </row>
    <row r="128" spans="1:34" ht="15.75" customHeight="1">
      <c r="A128" s="42" t="s">
        <v>478</v>
      </c>
      <c r="B128" s="42" t="s">
        <v>479</v>
      </c>
      <c r="C128" s="4" t="s">
        <v>113</v>
      </c>
      <c r="D128" s="4" t="s">
        <v>333</v>
      </c>
      <c r="E128" s="11" t="n">
        <v>1000</v>
      </c>
      <c r="F128" s="11" t="s">
        <v>334</v>
      </c>
      <c r="G128" s="4" t="s">
        <v>335</v>
      </c>
      <c r="H128" s="11" t="n">
        <v>2022</v>
      </c>
      <c r="I128" s="4" t="s">
        <v>98</v>
      </c>
      <c r="J128" s="4" t="s">
        <v>6</v>
      </c>
      <c r="K128" s="4" t="s">
        <v>7</v>
      </c>
      <c r="L128" s="4" t="s">
        <v>336</v>
      </c>
      <c r="R128" s="16"/>
      <c r="S128" s="16"/>
      <c r="T128" s="14"/>
      <c r="Y128" s="9"/>
      <c r="AF128" s="16"/>
      <c r="AG128" s="16"/>
      <c r="AH128" t="n">
        <v>348</v>
      </c>
    </row>
    <row r="129" spans="1:34" ht="15.75" customHeight="1">
      <c r="A129" s="42" t="s">
        <v>480</v>
      </c>
      <c r="B129" s="42" t="s">
        <v>481</v>
      </c>
      <c r="C129" s="4" t="s">
        <v>113</v>
      </c>
      <c r="D129" s="4" t="s">
        <v>343</v>
      </c>
      <c r="E129" s="11" t="n">
        <v>250</v>
      </c>
      <c r="F129" s="11" t="s">
        <v>334</v>
      </c>
      <c r="G129" s="4" t="s">
        <v>340</v>
      </c>
      <c r="H129" s="11" t="n">
        <v>2022</v>
      </c>
      <c r="I129" s="4" t="s">
        <v>98</v>
      </c>
      <c r="J129" s="4" t="s">
        <v>6</v>
      </c>
      <c r="K129" s="4" t="s">
        <v>10</v>
      </c>
      <c r="L129" s="4" t="s">
        <v>336</v>
      </c>
      <c r="R129" s="16"/>
      <c r="S129" s="16"/>
      <c r="T129" s="14"/>
      <c r="Y129" s="9"/>
      <c r="AF129" s="16"/>
      <c r="AG129" s="16"/>
      <c r="AH129" t="n">
        <v>357</v>
      </c>
    </row>
    <row r="130" spans="1:34" ht="15.75" customHeight="1">
      <c r="A130" s="42" t="s">
        <v>482</v>
      </c>
      <c r="B130" s="42" t="s">
        <v>483</v>
      </c>
      <c r="C130" s="4" t="s">
        <v>94</v>
      </c>
      <c r="D130" s="4" t="s">
        <v>352</v>
      </c>
      <c r="E130" s="11" t="n">
        <v>650</v>
      </c>
      <c r="F130" s="11" t="s">
        <v>334</v>
      </c>
      <c r="G130" s="4" t="s">
        <v>340</v>
      </c>
      <c r="H130" s="11" t="n">
        <v>2022</v>
      </c>
      <c r="I130" s="4" t="s">
        <v>98</v>
      </c>
      <c r="J130" s="4" t="s">
        <v>6</v>
      </c>
      <c r="K130" s="4" t="s">
        <v>9</v>
      </c>
      <c r="L130" s="4" t="s">
        <v>336</v>
      </c>
      <c r="R130" s="16"/>
      <c r="S130" s="16"/>
      <c r="T130" s="14"/>
      <c r="Y130" s="9"/>
      <c r="AF130" s="16"/>
      <c r="AG130" s="16"/>
      <c r="AH130" t="n">
        <v>347</v>
      </c>
    </row>
    <row r="131" spans="1:34" ht="15.75" customHeight="1">
      <c r="A131" s="42" t="s">
        <v>484</v>
      </c>
      <c r="B131" s="42" t="s">
        <v>485</v>
      </c>
      <c r="C131" s="4" t="s">
        <v>94</v>
      </c>
      <c r="D131" s="4" t="s">
        <v>355</v>
      </c>
      <c r="E131" s="11" t="n">
        <v>250</v>
      </c>
      <c r="F131" s="11" t="s">
        <v>334</v>
      </c>
      <c r="G131" s="4" t="s">
        <v>340</v>
      </c>
      <c r="H131" s="11" t="n">
        <v>2022</v>
      </c>
      <c r="I131" s="4" t="s">
        <v>98</v>
      </c>
      <c r="J131" s="4" t="s">
        <v>6</v>
      </c>
      <c r="K131" s="4" t="s">
        <v>10</v>
      </c>
      <c r="L131" s="4" t="s">
        <v>336</v>
      </c>
      <c r="R131" s="16"/>
      <c r="S131" s="16"/>
      <c r="T131" s="14"/>
      <c r="Y131" s="9"/>
      <c r="AF131" s="16"/>
      <c r="AG131" s="16"/>
      <c r="AH131" t="n">
        <v>354</v>
      </c>
    </row>
    <row r="132" spans="1:34" ht="15.75" customHeight="1">
      <c r="A132" s="42" t="s">
        <v>486</v>
      </c>
      <c r="B132" s="42" t="s">
        <v>487</v>
      </c>
      <c r="C132" s="4" t="s">
        <v>113</v>
      </c>
      <c r="D132" s="4" t="s">
        <v>358</v>
      </c>
      <c r="E132" s="11" t="n">
        <v>1000</v>
      </c>
      <c r="F132" s="11" t="s">
        <v>334</v>
      </c>
      <c r="G132" s="4" t="s">
        <v>340</v>
      </c>
      <c r="H132" s="11" t="n">
        <v>2022</v>
      </c>
      <c r="I132" s="4" t="s">
        <v>98</v>
      </c>
      <c r="J132" s="4" t="s">
        <v>6</v>
      </c>
      <c r="K132" s="4" t="s">
        <v>7</v>
      </c>
      <c r="L132" s="4" t="s">
        <v>336</v>
      </c>
      <c r="R132" s="16"/>
      <c r="S132" s="16"/>
      <c r="T132" s="14"/>
      <c r="Y132" s="9"/>
      <c r="AF132" s="16"/>
      <c r="AG132" s="16"/>
      <c r="AH132" t="n">
        <v>351</v>
      </c>
    </row>
    <row r="133" spans="1:34" ht="15.75" customHeight="1">
      <c r="A133" s="42" t="s">
        <v>488</v>
      </c>
      <c r="B133" s="42" t="s">
        <v>489</v>
      </c>
      <c r="C133" s="4" t="s">
        <v>113</v>
      </c>
      <c r="D133" s="4" t="s">
        <v>361</v>
      </c>
      <c r="E133" s="11" t="n">
        <v>650</v>
      </c>
      <c r="F133" s="11" t="s">
        <v>334</v>
      </c>
      <c r="G133" s="4" t="s">
        <v>340</v>
      </c>
      <c r="H133" s="11" t="n">
        <v>2022</v>
      </c>
      <c r="I133" s="4" t="s">
        <v>98</v>
      </c>
      <c r="J133" s="4" t="s">
        <v>6</v>
      </c>
      <c r="K133" s="4" t="s">
        <v>9</v>
      </c>
      <c r="L133" s="4" t="s">
        <v>336</v>
      </c>
      <c r="R133" s="16"/>
      <c r="S133" s="16"/>
      <c r="T133" s="14"/>
      <c r="Y133" s="9"/>
      <c r="AF133" s="16"/>
      <c r="AG133" s="16"/>
      <c r="AH133" t="n">
        <v>356</v>
      </c>
    </row>
    <row r="134" spans="1:34" ht="15.75" customHeight="1">
      <c r="A134" s="42" t="s">
        <v>490</v>
      </c>
      <c r="B134" s="42" t="s">
        <v>491</v>
      </c>
      <c r="C134" s="4" t="s">
        <v>113</v>
      </c>
      <c r="D134" s="4" t="s">
        <v>364</v>
      </c>
      <c r="E134" s="11" t="n">
        <v>250</v>
      </c>
      <c r="F134" s="11" t="s">
        <v>334</v>
      </c>
      <c r="G134" s="4" t="s">
        <v>340</v>
      </c>
      <c r="H134" s="11" t="n">
        <v>2022</v>
      </c>
      <c r="I134" s="4" t="s">
        <v>98</v>
      </c>
      <c r="J134" s="4" t="s">
        <v>6</v>
      </c>
      <c r="K134" s="4" t="s">
        <v>10</v>
      </c>
      <c r="L134" s="4" t="s">
        <v>336</v>
      </c>
      <c r="R134" s="16"/>
      <c r="S134" s="16"/>
      <c r="T134" s="14"/>
      <c r="Y134" s="9"/>
      <c r="AF134" s="16"/>
      <c r="AG134" s="16"/>
      <c r="AH134" t="n">
        <v>357</v>
      </c>
    </row>
    <row r="135" spans="1:34" ht="15.75" customHeight="1">
      <c r="A135" s="42" t="s">
        <v>492</v>
      </c>
      <c r="B135" s="42" t="s">
        <v>493</v>
      </c>
      <c r="C135" s="4" t="s">
        <v>113</v>
      </c>
      <c r="D135" s="4" t="s">
        <v>370</v>
      </c>
      <c r="E135" s="11" t="n">
        <v>25</v>
      </c>
      <c r="F135" s="11" t="s">
        <v>334</v>
      </c>
      <c r="G135" s="4" t="s">
        <v>340</v>
      </c>
      <c r="H135" s="11" t="n">
        <v>2022</v>
      </c>
      <c r="I135" s="4" t="s">
        <v>98</v>
      </c>
      <c r="J135" s="4" t="s">
        <v>6</v>
      </c>
      <c r="K135" s="4" t="s">
        <v>12</v>
      </c>
      <c r="L135" s="4" t="s">
        <v>336</v>
      </c>
      <c r="R135" s="16"/>
      <c r="S135" s="16"/>
      <c r="T135" s="14"/>
      <c r="Y135" s="9"/>
      <c r="AF135" s="16"/>
      <c r="AG135" s="16"/>
      <c r="AH135" t="n">
        <v>356</v>
      </c>
    </row>
    <row r="136" spans="1:34" ht="15.75" customHeight="1">
      <c r="A136" s="42" t="s">
        <v>494</v>
      </c>
      <c r="B136" s="42" t="s">
        <v>495</v>
      </c>
      <c r="C136" s="4" t="s">
        <v>94</v>
      </c>
      <c r="D136" s="4" t="s">
        <v>373</v>
      </c>
      <c r="E136" s="11" t="n">
        <v>1000</v>
      </c>
      <c r="F136" s="11" t="s">
        <v>334</v>
      </c>
      <c r="G136" s="4" t="s">
        <v>340</v>
      </c>
      <c r="H136" s="11" t="n">
        <v>2022</v>
      </c>
      <c r="I136" s="4" t="s">
        <v>98</v>
      </c>
      <c r="J136" s="4" t="s">
        <v>6</v>
      </c>
      <c r="K136" s="4" t="s">
        <v>7</v>
      </c>
      <c r="L136" s="4" t="s">
        <v>336</v>
      </c>
      <c r="R136" s="16"/>
      <c r="S136" s="16"/>
      <c r="T136" s="14"/>
      <c r="Y136" s="9"/>
      <c r="AF136" s="16"/>
      <c r="AG136" s="16"/>
      <c r="AH136" t="n">
        <v>357</v>
      </c>
    </row>
    <row r="137" spans="1:34" ht="15.75" customHeight="1">
      <c r="A137" s="42" t="s">
        <v>496</v>
      </c>
      <c r="B137" s="42" t="s">
        <v>497</v>
      </c>
      <c r="C137" s="4" t="s">
        <v>94</v>
      </c>
      <c r="D137" s="4" t="s">
        <v>376</v>
      </c>
      <c r="E137" s="11" t="n">
        <v>650</v>
      </c>
      <c r="F137" s="11" t="s">
        <v>334</v>
      </c>
      <c r="G137" s="4" t="s">
        <v>340</v>
      </c>
      <c r="H137" s="11" t="n">
        <v>2022</v>
      </c>
      <c r="I137" s="4" t="s">
        <v>98</v>
      </c>
      <c r="J137" s="4" t="s">
        <v>6</v>
      </c>
      <c r="K137" s="4" t="s">
        <v>9</v>
      </c>
      <c r="L137" s="4" t="s">
        <v>336</v>
      </c>
      <c r="R137" s="16"/>
      <c r="S137" s="16"/>
      <c r="T137" s="14"/>
      <c r="Y137" s="9"/>
      <c r="AF137" s="16"/>
      <c r="AG137" s="16"/>
      <c r="AH137" t="n">
        <v>358</v>
      </c>
    </row>
    <row r="138" spans="1:34" ht="15.75" customHeight="1">
      <c r="A138" s="42" t="s">
        <v>498</v>
      </c>
      <c r="B138" s="42" t="s">
        <v>499</v>
      </c>
      <c r="C138" s="4" t="s">
        <v>94</v>
      </c>
      <c r="D138" s="4" t="s">
        <v>379</v>
      </c>
      <c r="E138" s="11" t="n">
        <v>250</v>
      </c>
      <c r="F138" s="11" t="s">
        <v>334</v>
      </c>
      <c r="G138" s="4" t="s">
        <v>340</v>
      </c>
      <c r="H138" s="11" t="n">
        <v>2022</v>
      </c>
      <c r="I138" s="4" t="s">
        <v>98</v>
      </c>
      <c r="J138" s="4" t="s">
        <v>6</v>
      </c>
      <c r="K138" s="4" t="s">
        <v>10</v>
      </c>
      <c r="L138" s="4" t="s">
        <v>336</v>
      </c>
      <c r="R138" s="16"/>
      <c r="S138" s="16"/>
      <c r="T138" s="14"/>
      <c r="Y138" s="9"/>
      <c r="AF138" s="16"/>
      <c r="AG138" s="16"/>
      <c r="AH138" t="n">
        <v>355</v>
      </c>
    </row>
    <row r="139" spans="1:34" ht="15.75" customHeight="1">
      <c r="A139" s="42" t="s">
        <v>500</v>
      </c>
      <c r="B139" s="42" t="s">
        <v>501</v>
      </c>
      <c r="C139" s="4" t="s">
        <v>113</v>
      </c>
      <c r="D139" s="4" t="s">
        <v>382</v>
      </c>
      <c r="E139" s="11" t="n">
        <v>1000</v>
      </c>
      <c r="F139" s="11" t="s">
        <v>334</v>
      </c>
      <c r="G139" s="4" t="s">
        <v>340</v>
      </c>
      <c r="H139" s="11" t="n">
        <v>2022</v>
      </c>
      <c r="I139" s="4" t="s">
        <v>98</v>
      </c>
      <c r="J139" s="4" t="s">
        <v>6</v>
      </c>
      <c r="K139" s="4" t="s">
        <v>7</v>
      </c>
      <c r="L139" s="4" t="s">
        <v>336</v>
      </c>
      <c r="R139" s="16"/>
      <c r="S139" s="16"/>
      <c r="T139" s="14"/>
      <c r="Y139" s="9"/>
      <c r="AF139" s="16"/>
      <c r="AG139" s="16"/>
      <c r="AH139" t="n">
        <v>345</v>
      </c>
    </row>
    <row r="140" spans="1:34" ht="15.75" customHeight="1">
      <c r="A140" s="42" t="s">
        <v>502</v>
      </c>
      <c r="B140" s="42" t="s">
        <v>503</v>
      </c>
      <c r="C140" s="4" t="s">
        <v>113</v>
      </c>
      <c r="D140" s="4" t="s">
        <v>385</v>
      </c>
      <c r="E140" s="11" t="n">
        <v>650</v>
      </c>
      <c r="F140" s="11" t="s">
        <v>334</v>
      </c>
      <c r="G140" s="4" t="s">
        <v>340</v>
      </c>
      <c r="H140" s="11" t="n">
        <v>2022</v>
      </c>
      <c r="I140" s="4" t="s">
        <v>98</v>
      </c>
      <c r="J140" s="4" t="s">
        <v>6</v>
      </c>
      <c r="K140" s="4" t="s">
        <v>9</v>
      </c>
      <c r="L140" s="4" t="s">
        <v>336</v>
      </c>
      <c r="R140" s="16"/>
      <c r="S140" s="16"/>
      <c r="T140" s="14"/>
      <c r="Y140" s="9"/>
      <c r="AF140" s="16"/>
      <c r="AG140" s="16"/>
      <c r="AH140" t="n">
        <v>374</v>
      </c>
    </row>
    <row r="141" spans="1:34" ht="15.75" customHeight="1">
      <c r="A141" s="42" t="s">
        <v>504</v>
      </c>
      <c r="B141" s="42" t="s">
        <v>505</v>
      </c>
      <c r="C141" s="4" t="s">
        <v>113</v>
      </c>
      <c r="D141" s="4" t="s">
        <v>396</v>
      </c>
      <c r="E141" s="11" t="n">
        <v>25</v>
      </c>
      <c r="F141" s="11" t="s">
        <v>334</v>
      </c>
      <c r="G141" s="4" t="s">
        <v>340</v>
      </c>
      <c r="H141" s="11" t="n">
        <v>2022</v>
      </c>
      <c r="I141" s="4" t="s">
        <v>98</v>
      </c>
      <c r="J141" s="4" t="s">
        <v>6</v>
      </c>
      <c r="K141" s="4" t="s">
        <v>12</v>
      </c>
      <c r="L141" s="4" t="s">
        <v>336</v>
      </c>
      <c r="R141" s="16"/>
      <c r="S141" s="16"/>
      <c r="T141" s="14"/>
      <c r="Y141" s="9"/>
      <c r="AF141" s="16"/>
      <c r="AG141" s="16"/>
      <c r="AH141" t="n">
        <v>358</v>
      </c>
    </row>
    <row r="142" spans="1:34" ht="15.75" customHeight="1">
      <c r="A142" s="42" t="s">
        <v>506</v>
      </c>
      <c r="B142" s="42" t="s">
        <v>507</v>
      </c>
      <c r="C142" s="4" t="s">
        <v>94</v>
      </c>
      <c r="D142" s="4" t="s">
        <v>399</v>
      </c>
      <c r="E142" s="11" t="n">
        <v>1000</v>
      </c>
      <c r="F142" s="11" t="s">
        <v>334</v>
      </c>
      <c r="G142" s="4" t="s">
        <v>340</v>
      </c>
      <c r="H142" s="11" t="n">
        <v>2022</v>
      </c>
      <c r="I142" s="4" t="s">
        <v>98</v>
      </c>
      <c r="J142" s="4" t="s">
        <v>6</v>
      </c>
      <c r="K142" s="4" t="s">
        <v>7</v>
      </c>
      <c r="L142" s="4" t="s">
        <v>336</v>
      </c>
      <c r="R142" s="16"/>
      <c r="S142" s="16"/>
      <c r="T142" s="14"/>
      <c r="Y142" s="9"/>
      <c r="AF142" s="16"/>
      <c r="AG142" s="16"/>
      <c r="AH142" t="n">
        <v>353</v>
      </c>
    </row>
    <row r="143" spans="1:34" ht="15.75" customHeight="1">
      <c r="A143" s="42" t="s">
        <v>508</v>
      </c>
      <c r="B143" s="42" t="s">
        <v>509</v>
      </c>
      <c r="C143" s="4" t="s">
        <v>94</v>
      </c>
      <c r="D143" s="4" t="s">
        <v>402</v>
      </c>
      <c r="E143" s="11" t="n">
        <v>650</v>
      </c>
      <c r="F143" s="11" t="s">
        <v>334</v>
      </c>
      <c r="G143" s="4" t="s">
        <v>340</v>
      </c>
      <c r="H143" s="11" t="n">
        <v>2022</v>
      </c>
      <c r="I143" s="4" t="s">
        <v>98</v>
      </c>
      <c r="J143" s="4" t="s">
        <v>6</v>
      </c>
      <c r="K143" s="4" t="s">
        <v>9</v>
      </c>
      <c r="L143" s="4" t="s">
        <v>336</v>
      </c>
      <c r="R143" s="16"/>
      <c r="S143" s="16"/>
      <c r="T143" s="14"/>
      <c r="Y143" s="9"/>
      <c r="AF143" s="16"/>
      <c r="AG143" s="16"/>
      <c r="AH143" t="n">
        <v>354</v>
      </c>
    </row>
    <row r="144" spans="1:34" ht="15.75" customHeight="1">
      <c r="A144" s="42" t="s">
        <v>510</v>
      </c>
      <c r="B144" s="42" t="s">
        <v>511</v>
      </c>
      <c r="C144" s="4" t="s">
        <v>94</v>
      </c>
      <c r="D144" s="4" t="s">
        <v>405</v>
      </c>
      <c r="E144" s="11" t="n">
        <v>250</v>
      </c>
      <c r="F144" s="11" t="s">
        <v>334</v>
      </c>
      <c r="G144" s="4" t="s">
        <v>340</v>
      </c>
      <c r="H144" s="11" t="n">
        <v>2022</v>
      </c>
      <c r="I144" s="4" t="s">
        <v>98</v>
      </c>
      <c r="J144" s="4" t="s">
        <v>6</v>
      </c>
      <c r="K144" s="4" t="s">
        <v>10</v>
      </c>
      <c r="L144" s="4" t="s">
        <v>336</v>
      </c>
      <c r="R144" s="16"/>
      <c r="S144" s="16"/>
      <c r="T144" s="14"/>
      <c r="Y144" s="9"/>
      <c r="AF144" s="16"/>
      <c r="AG144" s="16"/>
      <c r="AH144" t="n">
        <v>351</v>
      </c>
    </row>
    <row r="145" spans="1:34" ht="15.75" customHeight="1">
      <c r="A145" s="42" t="s">
        <v>512</v>
      </c>
      <c r="B145" s="42" t="s">
        <v>513</v>
      </c>
      <c r="C145" s="4" t="s">
        <v>113</v>
      </c>
      <c r="D145" s="4" t="s">
        <v>408</v>
      </c>
      <c r="E145" s="11" t="n">
        <v>1000</v>
      </c>
      <c r="F145" s="11" t="s">
        <v>334</v>
      </c>
      <c r="G145" s="4" t="s">
        <v>340</v>
      </c>
      <c r="H145" s="11" t="n">
        <v>2022</v>
      </c>
      <c r="I145" s="4" t="s">
        <v>98</v>
      </c>
      <c r="J145" s="4" t="s">
        <v>6</v>
      </c>
      <c r="K145" s="4" t="s">
        <v>7</v>
      </c>
      <c r="L145" s="4" t="s">
        <v>336</v>
      </c>
      <c r="R145" s="16"/>
      <c r="S145" s="16"/>
      <c r="T145" s="14"/>
      <c r="Y145" s="9"/>
      <c r="AF145" s="16"/>
      <c r="AG145" s="16"/>
      <c r="AH145" t="n">
        <v>351</v>
      </c>
    </row>
    <row r="146" spans="1:34" ht="15.75" customHeight="1">
      <c r="A146" s="42" t="s">
        <v>514</v>
      </c>
      <c r="B146" s="42" t="s">
        <v>515</v>
      </c>
      <c r="C146" s="4" t="s">
        <v>113</v>
      </c>
      <c r="D146" s="4" t="s">
        <v>411</v>
      </c>
      <c r="E146" s="11" t="n">
        <v>650</v>
      </c>
      <c r="F146" s="11" t="s">
        <v>334</v>
      </c>
      <c r="G146" s="4" t="s">
        <v>340</v>
      </c>
      <c r="H146" s="11" t="n">
        <v>2022</v>
      </c>
      <c r="I146" s="4" t="s">
        <v>98</v>
      </c>
      <c r="J146" s="4" t="s">
        <v>6</v>
      </c>
      <c r="K146" s="4" t="s">
        <v>9</v>
      </c>
      <c r="L146" s="4" t="s">
        <v>336</v>
      </c>
      <c r="R146" s="16"/>
      <c r="S146" s="16"/>
      <c r="T146" s="14"/>
      <c r="Y146" s="9"/>
      <c r="AF146" s="16"/>
      <c r="AG146" s="16"/>
      <c r="AH146" t="n">
        <v>348</v>
      </c>
    </row>
    <row r="147" spans="1:34" ht="15.75" customHeight="1">
      <c r="A147" s="42" t="s">
        <v>516</v>
      </c>
      <c r="B147" s="42" t="s">
        <v>517</v>
      </c>
      <c r="C147" s="4" t="s">
        <v>113</v>
      </c>
      <c r="D147" s="4" t="s">
        <v>414</v>
      </c>
      <c r="E147" s="11" t="n">
        <v>250</v>
      </c>
      <c r="F147" s="11" t="s">
        <v>334</v>
      </c>
      <c r="G147" s="4" t="s">
        <v>340</v>
      </c>
      <c r="H147" s="11" t="n">
        <v>2022</v>
      </c>
      <c r="I147" s="4" t="s">
        <v>98</v>
      </c>
      <c r="J147" s="4" t="s">
        <v>6</v>
      </c>
      <c r="K147" s="4" t="s">
        <v>10</v>
      </c>
      <c r="L147" s="4" t="s">
        <v>336</v>
      </c>
      <c r="R147" s="16"/>
      <c r="S147" s="16"/>
      <c r="T147" s="14"/>
      <c r="Y147" s="9"/>
      <c r="AF147" s="16"/>
      <c r="AG147" s="16"/>
      <c r="AH147" t="n">
        <v>328</v>
      </c>
    </row>
    <row r="148" spans="1:34" ht="15.75" customHeight="1">
      <c r="A148" s="42" t="s">
        <v>518</v>
      </c>
      <c r="B148" s="42" t="s">
        <v>519</v>
      </c>
      <c r="C148" s="4" t="s">
        <v>94</v>
      </c>
      <c r="D148" s="4" t="s">
        <v>429</v>
      </c>
      <c r="E148" s="11" t="n">
        <v>250</v>
      </c>
      <c r="F148" s="11" t="s">
        <v>334</v>
      </c>
      <c r="G148" s="4" t="s">
        <v>340</v>
      </c>
      <c r="H148" s="11" t="n">
        <v>2022</v>
      </c>
      <c r="I148" s="4" t="s">
        <v>98</v>
      </c>
      <c r="J148" s="4" t="s">
        <v>6</v>
      </c>
      <c r="K148" s="4" t="s">
        <v>10</v>
      </c>
      <c r="L148" s="4" t="s">
        <v>336</v>
      </c>
      <c r="R148" s="16"/>
      <c r="S148" s="16"/>
      <c r="T148" s="14"/>
      <c r="Y148" s="9"/>
      <c r="AF148" s="16"/>
      <c r="AG148" s="16"/>
      <c r="AH148" t="n">
        <v>387</v>
      </c>
    </row>
    <row r="149" spans="1:34" ht="15.75" customHeight="1">
      <c r="A149" s="42" t="s">
        <v>520</v>
      </c>
      <c r="B149" s="42" t="s">
        <v>521</v>
      </c>
      <c r="C149" s="4" t="s">
        <v>94</v>
      </c>
      <c r="D149" s="4" t="s">
        <v>441</v>
      </c>
      <c r="E149" s="11" t="n">
        <v>1000</v>
      </c>
      <c r="F149" s="11" t="s">
        <v>334</v>
      </c>
      <c r="G149" s="4" t="s">
        <v>340</v>
      </c>
      <c r="H149" s="11" t="n">
        <v>2022</v>
      </c>
      <c r="I149" s="4" t="s">
        <v>98</v>
      </c>
      <c r="J149" s="4" t="s">
        <v>6</v>
      </c>
      <c r="K149" s="4" t="s">
        <v>7</v>
      </c>
      <c r="L149" s="4" t="s">
        <v>336</v>
      </c>
      <c r="R149" s="16"/>
      <c r="S149" s="16"/>
      <c r="T149" s="14"/>
      <c r="Y149" s="9"/>
      <c r="AF149" s="16"/>
      <c r="AG149" s="16"/>
      <c r="AH149" t="n">
        <v>353</v>
      </c>
    </row>
    <row r="150" spans="1:34" ht="15.75" customHeight="1">
      <c r="A150" s="42" t="s">
        <v>522</v>
      </c>
      <c r="B150" s="42" t="s">
        <v>523</v>
      </c>
      <c r="C150" s="4" t="s">
        <v>94</v>
      </c>
      <c r="D150" s="4" t="s">
        <v>447</v>
      </c>
      <c r="E150" s="11" t="n">
        <v>100</v>
      </c>
      <c r="F150" s="11" t="s">
        <v>334</v>
      </c>
      <c r="G150" s="4" t="s">
        <v>340</v>
      </c>
      <c r="H150" s="11" t="n">
        <v>2022</v>
      </c>
      <c r="I150" s="4" t="s">
        <v>98</v>
      </c>
      <c r="J150" s="4" t="s">
        <v>6</v>
      </c>
      <c r="K150" s="4" t="s">
        <v>11</v>
      </c>
      <c r="L150" s="4" t="s">
        <v>336</v>
      </c>
      <c r="R150" s="16"/>
      <c r="S150" s="16"/>
      <c r="T150" s="14"/>
      <c r="Y150" s="9"/>
      <c r="AF150" s="16"/>
      <c r="AG150" s="16"/>
      <c r="AH150" t="n">
        <v>357</v>
      </c>
    </row>
    <row r="151" spans="1:34" ht="15.75" customHeight="1">
      <c r="A151" s="42" t="s">
        <v>524</v>
      </c>
      <c r="B151" s="42" t="s">
        <v>525</v>
      </c>
      <c r="C151" s="4" t="s">
        <v>94</v>
      </c>
      <c r="D151" s="4" t="s">
        <v>453</v>
      </c>
      <c r="E151" s="11" t="n">
        <v>100</v>
      </c>
      <c r="F151" s="11" t="s">
        <v>334</v>
      </c>
      <c r="G151" s="4" t="s">
        <v>340</v>
      </c>
      <c r="H151" s="11" t="n">
        <v>2022</v>
      </c>
      <c r="I151" s="4" t="s">
        <v>98</v>
      </c>
      <c r="J151" s="4" t="s">
        <v>6</v>
      </c>
      <c r="K151" s="4" t="s">
        <v>11</v>
      </c>
      <c r="L151" s="4" t="s">
        <v>336</v>
      </c>
      <c r="R151" s="16"/>
      <c r="S151" s="16"/>
      <c r="T151" s="14"/>
      <c r="Y151" s="9"/>
      <c r="AF151" s="16"/>
      <c r="AG151" s="16"/>
      <c r="AH151" t="n">
        <v>356</v>
      </c>
    </row>
    <row r="152" spans="1:34" ht="15.75" customHeight="1">
      <c r="A152" s="42" t="s">
        <v>526</v>
      </c>
      <c r="B152" s="42" t="s">
        <v>527</v>
      </c>
      <c r="C152" s="4" t="s">
        <v>113</v>
      </c>
      <c r="D152" s="4" t="s">
        <v>462</v>
      </c>
      <c r="E152" s="11" t="n">
        <v>250</v>
      </c>
      <c r="F152" s="11" t="s">
        <v>334</v>
      </c>
      <c r="G152" s="4" t="s">
        <v>340</v>
      </c>
      <c r="H152" s="11" t="n">
        <v>2022</v>
      </c>
      <c r="I152" s="4" t="s">
        <v>98</v>
      </c>
      <c r="J152" s="4" t="s">
        <v>6</v>
      </c>
      <c r="K152" s="4" t="s">
        <v>10</v>
      </c>
      <c r="L152" s="4" t="s">
        <v>336</v>
      </c>
      <c r="R152" s="16"/>
      <c r="S152" s="16"/>
      <c r="T152" s="14"/>
      <c r="Y152" s="9"/>
      <c r="AF152" s="16"/>
      <c r="AG152" s="16"/>
      <c r="AH152" t="n">
        <v>353</v>
      </c>
    </row>
    <row r="153" spans="1:34" ht="15.75" customHeight="1">
      <c r="A153" s="42" t="s">
        <v>528</v>
      </c>
      <c r="B153" s="42" t="s">
        <v>529</v>
      </c>
      <c r="C153" s="4" t="s">
        <v>94</v>
      </c>
      <c r="D153" s="4" t="s">
        <v>468</v>
      </c>
      <c r="E153" s="11" t="n">
        <v>1000</v>
      </c>
      <c r="F153" s="11" t="s">
        <v>334</v>
      </c>
      <c r="G153" s="4" t="s">
        <v>340</v>
      </c>
      <c r="H153" s="11" t="n">
        <v>2022</v>
      </c>
      <c r="I153" s="4" t="s">
        <v>98</v>
      </c>
      <c r="J153" s="4" t="s">
        <v>6</v>
      </c>
      <c r="K153" s="4" t="s">
        <v>7</v>
      </c>
      <c r="L153" s="4" t="s">
        <v>336</v>
      </c>
      <c r="R153" s="16"/>
      <c r="S153" s="16"/>
      <c r="T153" s="14"/>
      <c r="Y153" s="9"/>
      <c r="AF153" s="16"/>
      <c r="AG153" s="16"/>
      <c r="AH153" t="n">
        <v>350</v>
      </c>
    </row>
    <row r="154" spans="1:34" ht="15.75" customHeight="1">
      <c r="A154" s="42" t="s">
        <v>530</v>
      </c>
      <c r="B154" s="42" t="s">
        <v>531</v>
      </c>
      <c r="C154" s="4" t="s">
        <v>94</v>
      </c>
      <c r="D154" s="4" t="s">
        <v>471</v>
      </c>
      <c r="E154" s="11" t="n">
        <v>650</v>
      </c>
      <c r="F154" s="11" t="s">
        <v>334</v>
      </c>
      <c r="G154" s="4" t="s">
        <v>340</v>
      </c>
      <c r="H154" s="11" t="n">
        <v>2022</v>
      </c>
      <c r="I154" s="4" t="s">
        <v>98</v>
      </c>
      <c r="J154" s="4" t="s">
        <v>6</v>
      </c>
      <c r="K154" s="4" t="s">
        <v>9</v>
      </c>
      <c r="L154" s="4" t="s">
        <v>336</v>
      </c>
      <c r="R154" s="16"/>
      <c r="S154" s="16"/>
      <c r="T154" s="14"/>
      <c r="Y154" s="9"/>
      <c r="AF154" s="16"/>
      <c r="AG154" s="16"/>
      <c r="AH154" t="n">
        <v>356</v>
      </c>
    </row>
  </sheetData>
  <printOptions>
    <extLst>
      <ext uri="smNativeData">
        <pm:pageFlags xmlns:pm="smNativeData" id="1752044485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2044485" l="56" r="56" t="56" b="56" borderId="0" fillId="0" vertical="0"/>
        <pm:footer xmlns:pm="smNativeData" id="1752044485" l="56" r="56" t="56" b="56" borderId="0" fillId="0" vertical="2"/>
      </ext>
    </extLst>
  </headerFooter>
  <extLst>
    <ext uri="smNativeData">
      <pm:sheetPrefs xmlns:pm="smNativeData" day="175204448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T51"/>
  <sheetViews>
    <sheetView tabSelected="1" view="normal" topLeftCell="A33" workbookViewId="0">
      <selection activeCell="A15" sqref="A15"/>
    </sheetView>
  </sheetViews>
  <sheetFormatPr baseColWidth="12" defaultColWidth="12.666667" defaultRowHeight="15.75" customHeight="1"/>
  <cols>
    <col min="4" max="4" width="10.234234" customWidth="1"/>
    <col min="5" max="5" width="10.702703" customWidth="1"/>
    <col min="6" max="6" width="5.756757" customWidth="1"/>
    <col min="7" max="7" width="6.855856" customWidth="1"/>
    <col min="8" max="8" width="13.459459" customWidth="1"/>
    <col min="9" max="9" width="13.234234" customWidth="1"/>
    <col min="10" max="10" width="23.459459" customWidth="1"/>
    <col min="11" max="11" width="2.162162" customWidth="1"/>
    <col min="12" max="12" width="10.153153" customWidth="1"/>
    <col min="13" max="14" width="6.855856" customWidth="1"/>
    <col min="15" max="15" width="12.576577" customWidth="1"/>
    <col min="16" max="16" width="12.027027" customWidth="1"/>
    <col min="17" max="17" width="1.765766" customWidth="1"/>
    <col min="18" max="19" width="7.954955" customWidth="1"/>
    <col min="20" max="20" width="7.513514" customWidth="1"/>
  </cols>
  <sheetData>
    <row r="1" spans="1:1" ht="15.75" customHeight="1">
      <c r="A1" s="17" t="s">
        <v>532</v>
      </c>
    </row>
    <row r="2" spans="1:20" ht="15.75" customHeight="1">
      <c r="A2" s="18"/>
      <c r="B2" s="18"/>
      <c r="C2" s="18"/>
      <c r="D2" s="52" t="s">
        <v>533</v>
      </c>
      <c r="E2" s="56"/>
      <c r="F2" s="53" t="s">
        <v>534</v>
      </c>
      <c r="G2" s="54"/>
      <c r="H2" s="54"/>
      <c r="I2" s="54"/>
      <c r="J2" s="55"/>
      <c r="L2" s="57" t="s">
        <v>535</v>
      </c>
      <c r="M2" s="57"/>
      <c r="N2" s="57"/>
      <c r="O2" s="57"/>
      <c r="P2" s="57"/>
      <c r="R2" s="58" t="s">
        <v>536</v>
      </c>
      <c r="S2" s="58"/>
      <c r="T2" s="58"/>
    </row>
    <row r="3" spans="1:20" ht="43.10" customHeight="1">
      <c r="A3" s="19" t="s">
        <v>537</v>
      </c>
      <c r="B3" s="20" t="s">
        <v>4</v>
      </c>
      <c r="C3" s="20" t="s">
        <v>538</v>
      </c>
      <c r="D3" s="21" t="s">
        <v>539</v>
      </c>
      <c r="E3" s="21" t="s">
        <v>540</v>
      </c>
      <c r="F3" s="22" t="s">
        <v>541</v>
      </c>
      <c r="G3" s="21" t="s">
        <v>80</v>
      </c>
      <c r="H3" s="21" t="s">
        <v>542</v>
      </c>
      <c r="I3" s="21" t="s">
        <v>543</v>
      </c>
      <c r="J3" s="23" t="s">
        <v>544</v>
      </c>
      <c r="L3" s="40" t="s">
        <v>545</v>
      </c>
      <c r="M3" s="39" t="s">
        <v>546</v>
      </c>
      <c r="N3" s="39" t="s">
        <v>547</v>
      </c>
      <c r="O3" s="39" t="s">
        <v>548</v>
      </c>
      <c r="P3" s="40" t="s">
        <v>549</v>
      </c>
      <c r="R3" s="18" t="s">
        <v>550</v>
      </c>
      <c r="S3" s="18" t="s">
        <v>551</v>
      </c>
      <c r="T3" s="18" t="s">
        <v>552</v>
      </c>
    </row>
    <row r="4" spans="1:20" ht="15.75" customHeight="1">
      <c r="A4" s="24" t="n">
        <v>1000</v>
      </c>
      <c r="B4" s="25" t="s">
        <v>553</v>
      </c>
      <c r="C4" s="26" t="n">
        <v>1</v>
      </c>
      <c r="D4" s="26" t="n">
        <v>131.5</v>
      </c>
      <c r="E4" s="26" t="n">
        <v>26.6329999999999991</v>
      </c>
      <c r="F4" s="26" t="n">
        <v>1.59800000000000004</v>
      </c>
      <c r="G4" s="26" t="n">
        <v>2.17899999999999983</v>
      </c>
      <c r="H4" s="27">
        <f>F4/E4</f>
        <v>0.0600007509480720014</v>
      </c>
      <c r="I4" s="28">
        <f>G4/E4</f>
        <v>0.0818157924379530144</v>
      </c>
      <c r="J4" s="28">
        <f>SQRT(F4)/E4</f>
        <v>0.047464433126003005</v>
      </c>
      <c r="L4" s="26" t="n">
        <v>3600</v>
      </c>
      <c r="M4" s="41" t="n">
        <v>0</v>
      </c>
      <c r="N4" s="26" t="s">
        <v>554</v>
      </c>
      <c r="O4" s="26" t="s">
        <v>554</v>
      </c>
      <c r="P4" s="18" t="s">
        <v>554</v>
      </c>
      <c r="R4" s="28" t="n">
        <v>17.0941333770750994</v>
      </c>
      <c r="S4" s="28" t="n">
        <v>15.9377632141112997</v>
      </c>
      <c r="T4" s="38">
        <f>S4-R4</f>
        <v>-1.15637016296379991</v>
      </c>
    </row>
    <row r="5" spans="1:20" ht="15.75" customHeight="1">
      <c r="A5" s="24" t="n">
        <v>1000</v>
      </c>
      <c r="B5" s="25" t="s">
        <v>555</v>
      </c>
      <c r="C5" s="26" t="n">
        <v>9</v>
      </c>
      <c r="D5" s="26" t="n">
        <v>77.9000000000000057</v>
      </c>
      <c r="E5" s="26" t="n">
        <v>19.4589999999999996</v>
      </c>
      <c r="F5" s="26" t="n">
        <v>0.964000000000000057</v>
      </c>
      <c r="G5" s="26" t="n">
        <v>1.46100000000000012</v>
      </c>
      <c r="H5" s="27">
        <f>F5/E5</f>
        <v>0.0495400585847170039</v>
      </c>
      <c r="I5" s="28">
        <f>G5/E5</f>
        <v>0.0750809394110689965</v>
      </c>
      <c r="J5" s="28">
        <f>SQRT(F5)/E5</f>
        <v>0.0504566019163720014</v>
      </c>
      <c r="L5" s="26" t="n">
        <v>1000</v>
      </c>
      <c r="M5" s="26" t="n">
        <v>0.205200000000000005</v>
      </c>
      <c r="N5" s="26" t="n">
        <v>0.0029</v>
      </c>
      <c r="O5" s="26" t="n">
        <v>0.205179</v>
      </c>
      <c r="P5" s="18">
        <f>4*O5*L5/D5</f>
        <v>10.5355070603337992</v>
      </c>
      <c r="R5" s="28" t="n">
        <v>16.6641712188719993</v>
      </c>
      <c r="S5" s="28" t="n">
        <v>17.634574890136701</v>
      </c>
      <c r="T5" s="38">
        <f>S5-R5</f>
        <v>0.970403671264701906</v>
      </c>
    </row>
    <row r="6" spans="1:20" ht="15.75" customHeight="1">
      <c r="A6" s="24" t="n">
        <v>1000</v>
      </c>
      <c r="B6" s="25" t="s">
        <v>556</v>
      </c>
      <c r="C6" s="26" t="n">
        <v>17</v>
      </c>
      <c r="D6" s="26" t="n">
        <v>56.6000000000000014</v>
      </c>
      <c r="E6" s="26" t="n">
        <v>18.0079999999999991</v>
      </c>
      <c r="F6" s="26" t="n">
        <v>0.841999999999999815</v>
      </c>
      <c r="G6" s="26" t="n">
        <v>1.51400000000000006</v>
      </c>
      <c r="H6" s="27">
        <f>F6/E6</f>
        <v>0.0467569968902710009</v>
      </c>
      <c r="I6" s="28">
        <f>G6/E6</f>
        <v>0.0840737450022210098</v>
      </c>
      <c r="J6" s="28">
        <f>SQRT(F6)/E6</f>
        <v>0.0509554409016189958</v>
      </c>
      <c r="L6" s="26" t="n">
        <v>500</v>
      </c>
      <c r="M6" s="26" t="n">
        <v>0.165699999999999958</v>
      </c>
      <c r="N6" s="26" t="n">
        <v>0.00589999999999999947</v>
      </c>
      <c r="O6" s="26" t="n">
        <v>0.165688000000000013</v>
      </c>
      <c r="P6" s="18">
        <f>4*O6*L6/D6</f>
        <v>5.85469964664310982</v>
      </c>
      <c r="R6" s="28" t="n">
        <v>21.4292163848875994</v>
      </c>
      <c r="S6" s="28" t="n">
        <v>17.3977851867675</v>
      </c>
      <c r="T6" s="38">
        <f>S6-R6</f>
        <v>-4.03143119812010031</v>
      </c>
    </row>
    <row r="7" spans="1:20" ht="15.75" customHeight="1">
      <c r="A7" s="24" t="n">
        <v>1000</v>
      </c>
      <c r="B7" s="25" t="s">
        <v>557</v>
      </c>
      <c r="C7" s="26" t="n">
        <v>25</v>
      </c>
      <c r="D7" s="26" t="n">
        <v>84.2000000000000028</v>
      </c>
      <c r="E7" s="26" t="n">
        <v>24.4299999999999997</v>
      </c>
      <c r="F7" s="26" t="n">
        <v>0.846999999999999886</v>
      </c>
      <c r="G7" s="26" t="n">
        <v>1.52099999999999991</v>
      </c>
      <c r="H7" s="27">
        <f>F7/E7</f>
        <v>0.0346704871060170028</v>
      </c>
      <c r="I7" s="28">
        <f>G7/E7</f>
        <v>0.0622595169873109988</v>
      </c>
      <c r="J7" s="28">
        <f>SQRT(F7)/E7</f>
        <v>0.0376719618987920057</v>
      </c>
      <c r="L7" s="26" t="n">
        <v>1000</v>
      </c>
      <c r="M7" s="26" t="n">
        <v>0.208099999999999996</v>
      </c>
      <c r="N7" s="26" t="n">
        <v>0.011100000000000001</v>
      </c>
      <c r="O7" s="26" t="n">
        <v>0.208137999999999979</v>
      </c>
      <c r="P7" s="18">
        <f>4*O7*L7/D7</f>
        <v>9.88779097387173955</v>
      </c>
      <c r="R7" s="28" t="n">
        <v>20.90962600708</v>
      </c>
      <c r="S7" s="28" t="n">
        <v>14.474463462829501</v>
      </c>
      <c r="T7" s="38">
        <f>S7-R7</f>
        <v>-6.43516254425049983</v>
      </c>
    </row>
    <row r="8" spans="1:20" ht="15.75" customHeight="1">
      <c r="A8" s="24" t="n">
        <v>1000</v>
      </c>
      <c r="B8" s="25" t="s">
        <v>558</v>
      </c>
      <c r="C8" s="26" t="n">
        <v>33</v>
      </c>
      <c r="D8" s="26" t="n">
        <v>65.7000000000000028</v>
      </c>
      <c r="E8" s="26" t="n">
        <v>17.8679999999999986</v>
      </c>
      <c r="F8" s="26" t="n">
        <v>0.740000000000000036</v>
      </c>
      <c r="G8" s="26" t="n">
        <v>1.33600000000000008</v>
      </c>
      <c r="H8" s="27">
        <f>F8/E8</f>
        <v>0.041414819789568007</v>
      </c>
      <c r="I8" s="28">
        <f>G8/E8</f>
        <v>0.0747705395119769989</v>
      </c>
      <c r="J8" s="28">
        <f>SQRT(F8)/E8</f>
        <v>0.0481437500953810016</v>
      </c>
      <c r="L8" s="26" t="n">
        <v>1000</v>
      </c>
      <c r="M8" s="26" t="n">
        <v>0.215300000000000002</v>
      </c>
      <c r="N8" s="26" t="n">
        <v>0.00589999999999999947</v>
      </c>
      <c r="O8" s="26" t="n">
        <v>0.21529499999999997</v>
      </c>
      <c r="P8" s="18">
        <f>4*O8*L8/D8</f>
        <v>13.1077625570775993</v>
      </c>
      <c r="R8" s="28" t="n">
        <v>20.7076702117918963</v>
      </c>
      <c r="S8" s="28" t="n">
        <v>16.0902824401855007</v>
      </c>
      <c r="T8" s="38">
        <f>S8-R8</f>
        <v>-4.61738777160640002</v>
      </c>
    </row>
    <row r="9" spans="1:20" ht="15.75" customHeight="1">
      <c r="A9" s="24" t="n">
        <v>1000</v>
      </c>
      <c r="B9" s="25" t="s">
        <v>559</v>
      </c>
      <c r="C9" s="26" t="n">
        <v>34</v>
      </c>
      <c r="D9" s="26" t="n">
        <v>107.299999999999997</v>
      </c>
      <c r="E9" s="26" t="n">
        <v>25.7510000000000012</v>
      </c>
      <c r="F9" s="26" t="n">
        <v>1.46700000000000008</v>
      </c>
      <c r="G9" s="26" t="n">
        <v>2.08099999999999996</v>
      </c>
      <c r="H9" s="27">
        <f>F9/E9</f>
        <v>0.056968661411207</v>
      </c>
      <c r="I9" s="28">
        <f>G9/E9</f>
        <v>0.0808123956351210104</v>
      </c>
      <c r="J9" s="28">
        <f>SQRT(F9)/E9</f>
        <v>0.047034979390749001</v>
      </c>
      <c r="L9" s="26" t="n">
        <v>1000</v>
      </c>
      <c r="M9" s="26" t="n">
        <v>0.152100000000000009</v>
      </c>
      <c r="N9" s="26" t="n">
        <v>0.00140000000000000018</v>
      </c>
      <c r="O9" s="26" t="n">
        <v>0.152127000000000017</v>
      </c>
      <c r="P9" s="18">
        <f>4*O9*L9/D9</f>
        <v>5.67109040074556958</v>
      </c>
      <c r="R9" s="28" t="n">
        <v>21.256914138793892</v>
      </c>
      <c r="S9" s="28" t="n">
        <v>15.9471893310545987</v>
      </c>
      <c r="T9" s="38">
        <f>S9-R9</f>
        <v>-5.30972480773929956</v>
      </c>
    </row>
    <row r="10" spans="1:20" ht="15.75" customHeight="1">
      <c r="A10" s="24" t="n">
        <v>1000</v>
      </c>
      <c r="B10" s="25" t="s">
        <v>560</v>
      </c>
      <c r="C10" s="26" t="n">
        <v>41</v>
      </c>
      <c r="D10" s="26" t="n">
        <v>96.4000000000000057</v>
      </c>
      <c r="E10" s="26" t="n">
        <v>23.4890000000000008</v>
      </c>
      <c r="F10" s="26" t="n">
        <v>1.05899999999999994</v>
      </c>
      <c r="G10" s="26" t="n">
        <v>1.84100000000000001</v>
      </c>
      <c r="H10" s="27">
        <f>F10/E10</f>
        <v>0.045084933373068008</v>
      </c>
      <c r="I10" s="28">
        <f>G10/E10</f>
        <v>0.0783771126910469906</v>
      </c>
      <c r="J10" s="28">
        <f>SQRT(F10)/E10</f>
        <v>0.0438110288464829978</v>
      </c>
      <c r="L10" s="26" t="n">
        <v>1000</v>
      </c>
      <c r="M10" s="26" t="n">
        <v>0.282499999999999964</v>
      </c>
      <c r="N10" s="26" t="n">
        <v>0.000299999999999999911</v>
      </c>
      <c r="O10" s="26" t="n">
        <v>0.282475999999999985</v>
      </c>
      <c r="P10" s="18">
        <f>4*O10*L10/D10</f>
        <v>11.7209958506223995</v>
      </c>
      <c r="R10" s="28" t="n">
        <v>22.0104217529295987</v>
      </c>
      <c r="S10" s="28" t="n">
        <v>21.3917694091795987</v>
      </c>
      <c r="T10" s="38">
        <f>S10-R10</f>
        <v>-0.61865234375</v>
      </c>
    </row>
    <row r="11" spans="1:20" ht="15.75" customHeight="1">
      <c r="A11" s="29" t="n">
        <v>650</v>
      </c>
      <c r="B11" s="25" t="s">
        <v>561</v>
      </c>
      <c r="C11" s="26" t="n">
        <v>2</v>
      </c>
      <c r="D11" s="26" t="n">
        <v>120.400000000000006</v>
      </c>
      <c r="E11" s="26" t="n">
        <v>22.0229999999999997</v>
      </c>
      <c r="F11" s="26" t="n">
        <v>0.969999999999999929</v>
      </c>
      <c r="G11" s="26" t="n">
        <v>1.92300000000000004</v>
      </c>
      <c r="H11" s="27">
        <f>F11/E11</f>
        <v>0.0440448621895289971</v>
      </c>
      <c r="I11" s="28">
        <f>G11/E11</f>
        <v>0.0873178041138810102</v>
      </c>
      <c r="J11" s="28">
        <f>SQRT(F11)/E11</f>
        <v>0.0447207819179770016</v>
      </c>
      <c r="L11" s="26" t="n">
        <v>1500</v>
      </c>
      <c r="M11" s="26" t="n">
        <v>0.059499999999999984</v>
      </c>
      <c r="N11" s="26" t="n">
        <v>0.00260000000000000009</v>
      </c>
      <c r="O11" s="26" t="n">
        <v>0.0594679999999999875</v>
      </c>
      <c r="P11" s="18">
        <f>4*O11*L11/D11</f>
        <v>2.9635215946843898</v>
      </c>
      <c r="R11" s="28" t="n">
        <v>23.5111398696898917</v>
      </c>
      <c r="S11" s="28" t="n">
        <v>18.667835235595696</v>
      </c>
      <c r="T11" s="38">
        <f>S11-R11</f>
        <v>-4.84330463409420009</v>
      </c>
    </row>
    <row r="12" spans="1:20" ht="15.75" customHeight="1">
      <c r="A12" s="29" t="n">
        <v>650</v>
      </c>
      <c r="B12" s="25" t="s">
        <v>562</v>
      </c>
      <c r="C12" s="26" t="n">
        <v>10</v>
      </c>
      <c r="D12" s="26" t="n">
        <v>85.5999999999999801</v>
      </c>
      <c r="E12" s="26" t="n">
        <v>22.2240000000000002</v>
      </c>
      <c r="F12" s="26" t="n">
        <v>0.79300000000000006</v>
      </c>
      <c r="G12" s="26" t="n">
        <v>1.5129999999999999</v>
      </c>
      <c r="H12" s="27">
        <f>F12/E12</f>
        <v>0.0356821454283660033</v>
      </c>
      <c r="I12" s="28">
        <f>G12/E12</f>
        <v>0.0680795536357090025</v>
      </c>
      <c r="J12" s="28">
        <f>SQRT(F12)/E12</f>
        <v>0.0400695407863450015</v>
      </c>
      <c r="L12" s="26" t="n">
        <v>1000</v>
      </c>
      <c r="M12" s="26" t="n">
        <v>0.158499999999999996</v>
      </c>
      <c r="N12" s="26" t="n">
        <v>0.0008</v>
      </c>
      <c r="O12" s="26" t="n">
        <v>0.158483000000000018</v>
      </c>
      <c r="P12" s="18">
        <f>4*O12*L12/D12</f>
        <v>7.40574766355140035</v>
      </c>
      <c r="R12" s="28" t="n">
        <v>16.746858596801701</v>
      </c>
      <c r="S12" s="28" t="n">
        <v>14.9315910339355007</v>
      </c>
      <c r="T12" s="38">
        <f>S12-R12</f>
        <v>-1.8152675628662001</v>
      </c>
    </row>
    <row r="13" spans="1:20" ht="15.75" customHeight="1">
      <c r="A13" s="29" t="n">
        <v>650</v>
      </c>
      <c r="B13" s="25" t="s">
        <v>563</v>
      </c>
      <c r="C13" s="26" t="n">
        <v>18</v>
      </c>
      <c r="D13" s="26" t="n">
        <v>120.200000000000003</v>
      </c>
      <c r="E13" s="26" t="n">
        <v>24.3590000000000018</v>
      </c>
      <c r="F13" s="26" t="n">
        <v>1.575</v>
      </c>
      <c r="G13" s="26" t="n">
        <v>2.08300000000000018</v>
      </c>
      <c r="H13" s="27">
        <f>F13/E13</f>
        <v>0.0646578266759719966</v>
      </c>
      <c r="I13" s="28">
        <f>G13/E13</f>
        <v>0.0855125415657460053</v>
      </c>
      <c r="J13" s="28">
        <f>SQRT(F13)/E13</f>
        <v>0.0515205895070040043</v>
      </c>
      <c r="L13" s="26" t="n">
        <v>1000</v>
      </c>
      <c r="M13" s="26" t="n">
        <v>0.332100000000000017</v>
      </c>
      <c r="N13" s="26" t="n">
        <v>0.0008</v>
      </c>
      <c r="O13" s="26" t="n">
        <v>0.33214500000000009</v>
      </c>
      <c r="P13" s="18">
        <f>4*O13*L13/D13</f>
        <v>11.0530782029949997</v>
      </c>
      <c r="R13" s="28" t="n">
        <v>20.3219547271727983</v>
      </c>
      <c r="S13" s="28" t="n">
        <v>12.8124856948852006</v>
      </c>
      <c r="T13" s="38">
        <f>S13-R13</f>
        <v>-7.50946903228760032</v>
      </c>
    </row>
    <row r="14" spans="1:20" ht="15.75" customHeight="1">
      <c r="A14" s="29" t="n">
        <v>650</v>
      </c>
      <c r="B14" s="25" t="s">
        <v>564</v>
      </c>
      <c r="C14" s="26" t="n">
        <v>26</v>
      </c>
      <c r="D14" s="26" t="n">
        <v>91.2999999999999972</v>
      </c>
      <c r="E14" s="26" t="n">
        <v>20.1990000000000016</v>
      </c>
      <c r="F14" s="26" t="n">
        <v>1.14900000000000002</v>
      </c>
      <c r="G14" s="26" t="n">
        <v>1.60099999999999998</v>
      </c>
      <c r="H14" s="27">
        <f>F14/E14</f>
        <v>0.0568840041586220035</v>
      </c>
      <c r="I14" s="28">
        <f>G14/E14</f>
        <v>0.079261349571760995</v>
      </c>
      <c r="J14" s="28">
        <f>SQRT(F14)/E14</f>
        <v>0.053067685314567008</v>
      </c>
      <c r="L14" s="26" t="n">
        <v>1000</v>
      </c>
      <c r="M14" s="26" t="n">
        <v>0.262900000000000045</v>
      </c>
      <c r="N14" s="26" t="n">
        <v>0.0065</v>
      </c>
      <c r="O14" s="26" t="n">
        <v>0.262851999999999997</v>
      </c>
      <c r="P14" s="18">
        <f>4*O14*L14/D14</f>
        <v>11.5159693318729008</v>
      </c>
      <c r="R14" s="28" t="n">
        <v>19.0198459625243999</v>
      </c>
      <c r="S14" s="28" t="n">
        <v>15.3370389938353977</v>
      </c>
      <c r="T14" s="38">
        <f>S14-R14</f>
        <v>-3.68280696868899993</v>
      </c>
    </row>
    <row r="15" spans="1:20" ht="15.75" customHeight="1">
      <c r="A15" s="29" t="n">
        <v>650</v>
      </c>
      <c r="B15" s="25" t="s">
        <v>565</v>
      </c>
      <c r="C15" s="26" t="n">
        <v>31</v>
      </c>
      <c r="D15" s="26" t="n">
        <v>73.4000000000000057</v>
      </c>
      <c r="E15" s="26" t="n">
        <v>20.2880000000000003</v>
      </c>
      <c r="F15" s="26" t="n">
        <v>0.932000000000000028</v>
      </c>
      <c r="G15" s="26" t="n">
        <v>1.41599999999999993</v>
      </c>
      <c r="H15" s="27">
        <f>F15/E15</f>
        <v>0.0459384858044160005</v>
      </c>
      <c r="I15" s="28">
        <f>G15/E15</f>
        <v>0.0697949526813880006</v>
      </c>
      <c r="J15" s="28">
        <f>SQRT(F15)/E15</f>
        <v>0.0475848516803910027</v>
      </c>
      <c r="L15" s="26" t="n">
        <v>2000</v>
      </c>
      <c r="M15" s="26" t="n">
        <v>0.166000000000000014</v>
      </c>
      <c r="N15" s="26" t="n">
        <v>0.0224000000000000021</v>
      </c>
      <c r="O15" s="26" t="n">
        <v>0.162558000000000007</v>
      </c>
      <c r="P15" s="18">
        <f>4*O15*L15/D15</f>
        <v>17.7174931880108986</v>
      </c>
      <c r="R15" s="28" t="n">
        <v>18.8960170745849005</v>
      </c>
      <c r="S15" s="28" t="n">
        <v>13.8960628509520987</v>
      </c>
      <c r="T15" s="38">
        <f>S15-R15</f>
        <v>-4.99995422363280007</v>
      </c>
    </row>
    <row r="16" spans="1:16" ht="15.75" customHeight="1">
      <c r="A16" s="29" t="n">
        <v>650</v>
      </c>
      <c r="B16" s="25" t="s">
        <v>566</v>
      </c>
      <c r="C16" s="26" t="n">
        <v>42</v>
      </c>
      <c r="D16" s="26" t="n">
        <v>72.7999999999999829</v>
      </c>
      <c r="E16" s="26" t="n">
        <v>19.4570000000000007</v>
      </c>
      <c r="F16" s="26" t="n">
        <v>1.16799999999999993</v>
      </c>
      <c r="G16" s="26" t="n">
        <v>1.65199999999999996</v>
      </c>
      <c r="H16" s="27">
        <f>F16/E16</f>
        <v>0.0600298093231229934</v>
      </c>
      <c r="I16" s="28">
        <f>G16/E16</f>
        <v>0.0849051755152390086</v>
      </c>
      <c r="J16" s="28">
        <f>SQRT(F16)/E16</f>
        <v>0.0555450730785060021</v>
      </c>
      <c r="L16" s="26" t="n">
        <v>3000</v>
      </c>
      <c r="M16" s="26" t="n">
        <v>0.182200000000000006</v>
      </c>
      <c r="N16" s="26" t="n">
        <v>0.0127000000000000002</v>
      </c>
      <c r="O16" s="26" t="n">
        <v>0.182174000000000014</v>
      </c>
      <c r="P16" s="18">
        <f>4*O16*L16/D16</f>
        <v>30.0286813186813006</v>
      </c>
    </row>
    <row r="17" spans="1:20" ht="15.75" customHeight="1">
      <c r="A17" s="30" t="n">
        <v>250</v>
      </c>
      <c r="B17" s="25" t="s">
        <v>567</v>
      </c>
      <c r="C17" s="26" t="n">
        <v>3</v>
      </c>
      <c r="D17" s="26" t="n">
        <v>246.900000000000006</v>
      </c>
      <c r="E17" s="26" t="n">
        <v>30.3060000000000009</v>
      </c>
      <c r="F17" s="26" t="n">
        <v>1.98300000000000018</v>
      </c>
      <c r="G17" s="26" t="n">
        <v>2.47500000000000009</v>
      </c>
      <c r="H17" s="27">
        <f>F17/E17</f>
        <v>0.0654325876064150069</v>
      </c>
      <c r="I17" s="28">
        <f>G17/E17</f>
        <v>0.0816669966343299869</v>
      </c>
      <c r="J17" s="28">
        <f>SQRT(F17)/E17</f>
        <v>0.0464657271842269992</v>
      </c>
      <c r="L17" s="26" t="n">
        <v>4000</v>
      </c>
      <c r="M17" s="26" t="n">
        <v>0.215100000000000025</v>
      </c>
      <c r="N17" s="26" t="n">
        <v>0.00110000000000000009</v>
      </c>
      <c r="O17" s="26" t="n">
        <v>0.215120999999999984</v>
      </c>
      <c r="P17" s="18">
        <f>4*O17*L17/D17</f>
        <v>13.9406075334142994</v>
      </c>
      <c r="R17" s="28" t="n">
        <v>14.4323348999023011</v>
      </c>
      <c r="S17" s="28" t="n">
        <v>15.5104436874388991</v>
      </c>
      <c r="T17" s="38">
        <f>S17-R17</f>
        <v>1.0781087875366</v>
      </c>
    </row>
    <row r="18" spans="1:20" ht="15.75" customHeight="1">
      <c r="A18" s="30" t="n">
        <v>250</v>
      </c>
      <c r="B18" s="25" t="s">
        <v>568</v>
      </c>
      <c r="C18" s="26" t="n">
        <v>11</v>
      </c>
      <c r="D18" s="26" t="n">
        <v>183</v>
      </c>
      <c r="E18" s="26" t="n">
        <v>26.6449999999999996</v>
      </c>
      <c r="F18" s="26" t="n">
        <v>2.06400000000000006</v>
      </c>
      <c r="G18" s="26" t="n">
        <v>2.33499999999999996</v>
      </c>
      <c r="H18" s="27">
        <f>F18/E18</f>
        <v>0.0774629386376429974</v>
      </c>
      <c r="I18" s="28">
        <f>G18/E18</f>
        <v>0.0876337023831860051</v>
      </c>
      <c r="J18" s="28">
        <f>SQRT(F18)/E18</f>
        <v>0.0539186639026249992</v>
      </c>
      <c r="L18" s="26" t="n">
        <v>2000</v>
      </c>
      <c r="M18" s="26" t="n">
        <v>0.649900000000000144</v>
      </c>
      <c r="N18" s="26" t="n">
        <v>0.00280000000000000036</v>
      </c>
      <c r="O18" s="26" t="n">
        <v>0.649868999999999986</v>
      </c>
      <c r="P18" s="18">
        <f>4*O18*L18/D18</f>
        <v>28.4095737704918001</v>
      </c>
      <c r="R18" s="28" t="n">
        <v>14.9900383949279004</v>
      </c>
      <c r="S18" s="28" t="n">
        <v>14.3987779617308984</v>
      </c>
      <c r="T18" s="38">
        <f>S18-R18</f>
        <v>-0.59126043319699999</v>
      </c>
    </row>
    <row r="19" spans="1:20" ht="15.75" customHeight="1">
      <c r="A19" s="30" t="n">
        <v>250</v>
      </c>
      <c r="B19" s="25" t="s">
        <v>569</v>
      </c>
      <c r="C19" s="26" t="n">
        <v>19</v>
      </c>
      <c r="D19" s="26" t="n">
        <v>186</v>
      </c>
      <c r="E19" s="26" t="n">
        <v>26.782</v>
      </c>
      <c r="F19" s="26" t="n">
        <v>1.87799999999999994</v>
      </c>
      <c r="G19" s="26" t="n">
        <v>2.03200000000000003</v>
      </c>
      <c r="H19" s="27">
        <f>F19/E19</f>
        <v>0.0701217235456649934</v>
      </c>
      <c r="I19" s="28">
        <f>G19/E19</f>
        <v>0.0758718542304530086</v>
      </c>
      <c r="J19" s="28">
        <f>SQRT(F19)/E19</f>
        <v>0.0511687477055509987</v>
      </c>
      <c r="L19" s="26" t="n">
        <v>2000</v>
      </c>
      <c r="M19" s="26" t="n">
        <v>0.438199999999999967</v>
      </c>
      <c r="N19" s="26" t="n">
        <v>0.00869999999999999751</v>
      </c>
      <c r="O19" s="26" t="n">
        <v>0.438241999999999976</v>
      </c>
      <c r="P19" s="18">
        <f>4*O19*L19/D19</f>
        <v>18.8491182795699004</v>
      </c>
      <c r="R19" s="28" t="n">
        <v>20.3484497070312003</v>
      </c>
      <c r="S19" s="28" t="n">
        <v>14.4052848815916992</v>
      </c>
      <c r="T19" s="38">
        <f>S19-R19</f>
        <v>-5.9431648254395002</v>
      </c>
    </row>
    <row r="20" spans="1:20" ht="15.75" customHeight="1">
      <c r="A20" s="30" t="n">
        <v>250</v>
      </c>
      <c r="B20" s="25" t="s">
        <v>570</v>
      </c>
      <c r="C20" s="26" t="n">
        <v>27</v>
      </c>
      <c r="D20" s="26" t="n">
        <v>72.4000000000000057</v>
      </c>
      <c r="E20" s="26" t="n">
        <v>20.379999999999999</v>
      </c>
      <c r="F20" s="26" t="n">
        <v>0.874000000000000021</v>
      </c>
      <c r="G20" s="26" t="n">
        <v>1.49199999999999999</v>
      </c>
      <c r="H20" s="27">
        <f>F20/E20</f>
        <v>0.0428851815505399969</v>
      </c>
      <c r="I20" s="28">
        <f>G20/E20</f>
        <v>0.0732090284592740037</v>
      </c>
      <c r="J20" s="28">
        <f>SQRT(F20)/E20</f>
        <v>0.0458724078214730024</v>
      </c>
      <c r="L20" s="26" t="n">
        <v>2000</v>
      </c>
      <c r="M20" s="26" t="n">
        <v>0.93490000000000002</v>
      </c>
      <c r="N20" s="26" t="n">
        <v>0.0185999999999999979</v>
      </c>
      <c r="O20" s="26" t="n">
        <v>0.934850999999999921</v>
      </c>
      <c r="P20" s="18">
        <f>4*O20*L20/D20</f>
        <v>103.298453038673998</v>
      </c>
      <c r="R20" s="28" t="n">
        <v>21.2792224884032919</v>
      </c>
      <c r="S20" s="28" t="n">
        <v>16.1883792877196981</v>
      </c>
      <c r="T20" s="38">
        <f>S20-R20</f>
        <v>-5.09084320068359997</v>
      </c>
    </row>
    <row r="21" spans="1:20" ht="15.75" customHeight="1">
      <c r="A21" s="30" t="n">
        <v>250</v>
      </c>
      <c r="B21" s="25" t="s">
        <v>571</v>
      </c>
      <c r="C21" s="26" t="n">
        <v>43</v>
      </c>
      <c r="D21" s="26" t="n">
        <v>131.400000000000006</v>
      </c>
      <c r="E21" s="26" t="n">
        <v>22.5700000000000003</v>
      </c>
      <c r="F21" s="26" t="n">
        <v>1.19500000000000007</v>
      </c>
      <c r="G21" s="26" t="n">
        <v>1.70199999999999996</v>
      </c>
      <c r="H21" s="27">
        <f>F21/E21</f>
        <v>0.0529463890119630065</v>
      </c>
      <c r="I21" s="28">
        <f>G21/E21</f>
        <v>0.0754098360655739963</v>
      </c>
      <c r="J21" s="28">
        <f>SQRT(F21)/E21</f>
        <v>0.0484342293067690033</v>
      </c>
      <c r="L21" s="26" t="n">
        <v>2000</v>
      </c>
      <c r="M21" s="26" t="n">
        <v>0.284699999999999989</v>
      </c>
      <c r="N21" s="26" t="n">
        <v>0.0150999999999999996</v>
      </c>
      <c r="O21" s="26" t="n">
        <v>0.284664999999999999</v>
      </c>
      <c r="P21" s="18">
        <f>4*O21*L21/D21</f>
        <v>17.3312024353120009</v>
      </c>
      <c r="R21" s="28" t="n">
        <v>19.152837753295799</v>
      </c>
      <c r="S21" s="28" t="n">
        <v>18.1503639221191051</v>
      </c>
      <c r="T21" s="38">
        <f>S21-R21</f>
        <v>-1.00247383117670008</v>
      </c>
    </row>
    <row r="22" spans="1:20" ht="15.75" customHeight="1">
      <c r="A22" s="31" t="n">
        <v>100</v>
      </c>
      <c r="B22" s="25" t="s">
        <v>572</v>
      </c>
      <c r="C22" s="26" t="n">
        <v>4</v>
      </c>
      <c r="D22" s="26" t="n">
        <v>137.099999999999994</v>
      </c>
      <c r="E22" s="26" t="n">
        <v>22.0100000000000016</v>
      </c>
      <c r="F22" s="26" t="n">
        <v>1.42199999999999989</v>
      </c>
      <c r="G22" s="26" t="n">
        <v>1.65500000000000007</v>
      </c>
      <c r="H22" s="27">
        <f>F22/E22</f>
        <v>0.064606996819627005</v>
      </c>
      <c r="I22" s="28">
        <f>G22/E22</f>
        <v>0.0751930940481600008</v>
      </c>
      <c r="J22" s="28">
        <f>SQRT(F22)/E22</f>
        <v>0.0541788466542989955</v>
      </c>
      <c r="L22" s="26" t="n">
        <v>2000</v>
      </c>
      <c r="M22" s="26" t="n">
        <v>0.786699999999999822</v>
      </c>
      <c r="N22" s="26" t="n">
        <v>0.00359999999999999964</v>
      </c>
      <c r="O22" s="26" t="n">
        <v>0.786706000000000039</v>
      </c>
      <c r="P22" s="18">
        <f>4*O22*L22/D22</f>
        <v>45.9055288110868034</v>
      </c>
      <c r="R22" s="28" t="n">
        <v>17.1476078033447017</v>
      </c>
      <c r="S22" s="28" t="n">
        <v>15.8130826950072993</v>
      </c>
      <c r="T22" s="38">
        <f>S22-R22</f>
        <v>-1.3345251083373999</v>
      </c>
    </row>
    <row r="23" spans="1:20" ht="15.75" customHeight="1">
      <c r="A23" s="31" t="n">
        <v>100</v>
      </c>
      <c r="B23" s="25" t="s">
        <v>573</v>
      </c>
      <c r="C23" s="26" t="n">
        <v>12</v>
      </c>
      <c r="D23" s="26" t="n">
        <v>222.900000000000006</v>
      </c>
      <c r="E23" s="26" t="n">
        <v>26.8079999999999998</v>
      </c>
      <c r="F23" s="26" t="n">
        <v>1.57699999999999996</v>
      </c>
      <c r="G23" s="26" t="n">
        <v>1.9</v>
      </c>
      <c r="H23" s="27">
        <f>F23/E23</f>
        <v>0.058825723664577998</v>
      </c>
      <c r="I23" s="28">
        <f>G23/E23</f>
        <v>0.070874365860936992</v>
      </c>
      <c r="J23" s="28">
        <f>SQRT(F23)/E23</f>
        <v>0.0468437259801570072</v>
      </c>
      <c r="L23" s="26" t="n">
        <v>4000</v>
      </c>
      <c r="M23" s="26" t="n">
        <v>0.317400000000000082</v>
      </c>
      <c r="N23" s="26" t="n">
        <v>0.000599999999999999822</v>
      </c>
      <c r="O23" s="26" t="n">
        <v>0.317377999999999982</v>
      </c>
      <c r="P23" s="18">
        <f>4*O23*L23/D23</f>
        <v>22.7817317182593015</v>
      </c>
      <c r="R23" s="28" t="n">
        <v>14.2533750534056995</v>
      </c>
      <c r="S23" s="28" t="n">
        <v>13.8370294570922017</v>
      </c>
      <c r="T23" s="38">
        <f>S23-R23</f>
        <v>-0.41634559631350001</v>
      </c>
    </row>
    <row r="24" spans="1:20" ht="15.75" customHeight="1">
      <c r="A24" s="31" t="n">
        <v>100</v>
      </c>
      <c r="B24" s="25" t="s">
        <v>574</v>
      </c>
      <c r="C24" s="26" t="n">
        <v>20</v>
      </c>
      <c r="D24" s="26" t="n">
        <v>194.699999999999989</v>
      </c>
      <c r="E24" s="26" t="n">
        <v>25.088000000000001</v>
      </c>
      <c r="F24" s="26" t="n">
        <v>2.6469999999999998</v>
      </c>
      <c r="G24" s="26" t="n">
        <v>2.67899999999999983</v>
      </c>
      <c r="H24" s="27">
        <f>F24/E24</f>
        <v>0.105508609693878008</v>
      </c>
      <c r="I24" s="28">
        <f>G24/E24</f>
        <v>0.106784119897958996</v>
      </c>
      <c r="J24" s="28">
        <f>SQRT(F24)/E24</f>
        <v>0.0648501417411250003</v>
      </c>
      <c r="L24" s="26" t="n">
        <v>4000</v>
      </c>
      <c r="M24" s="26" t="n">
        <v>0.60829999999999993</v>
      </c>
      <c r="N24" s="26" t="n">
        <v>0.0216000000000000014</v>
      </c>
      <c r="O24" s="26" t="n">
        <v>0.606030999999999942</v>
      </c>
      <c r="P24" s="18">
        <f>4*O24*L24/D24</f>
        <v>49.8022393425782965</v>
      </c>
      <c r="R24" s="28" t="n">
        <v>19.8677425384520916</v>
      </c>
      <c r="S24" s="28" t="n">
        <v>14.2873783111572017</v>
      </c>
      <c r="T24" s="38">
        <f>S24-R24</f>
        <v>-5.58036422729489967</v>
      </c>
    </row>
    <row r="25" spans="1:20" ht="15.75" customHeight="1">
      <c r="A25" s="31" t="n">
        <v>100</v>
      </c>
      <c r="B25" s="25" t="s">
        <v>575</v>
      </c>
      <c r="C25" s="26" t="n">
        <v>28</v>
      </c>
      <c r="D25" s="26" t="n">
        <v>209.199999999999989</v>
      </c>
      <c r="E25" s="26" t="n">
        <v>26.8949999999999996</v>
      </c>
      <c r="F25" s="26" t="n">
        <v>1.69900000000000002</v>
      </c>
      <c r="G25" s="26" t="n">
        <v>1.88199999999999985</v>
      </c>
      <c r="H25" s="27">
        <f>F25/E25</f>
        <v>0.0631715932329429908</v>
      </c>
      <c r="I25" s="28">
        <f>G25/E25</f>
        <v>0.0699758319390220063</v>
      </c>
      <c r="J25" s="28">
        <f>SQRT(F25)/E25</f>
        <v>0.0484646567070099987</v>
      </c>
      <c r="L25" s="26" t="n">
        <v>3000</v>
      </c>
      <c r="M25" s="26" t="n">
        <v>0.517300000000000004</v>
      </c>
      <c r="N25" s="26" t="n">
        <v>0.00260000000000000009</v>
      </c>
      <c r="O25" s="26" t="n">
        <v>0.517348000000000052</v>
      </c>
      <c r="P25" s="18">
        <f>4*O25*L25/D25</f>
        <v>29.6757934990440013</v>
      </c>
      <c r="R25" s="28" t="n">
        <v>27.7002468109129971</v>
      </c>
      <c r="S25" s="28" t="n">
        <v>17.294805526733299</v>
      </c>
      <c r="T25" s="38">
        <f>S25-R25</f>
        <v>-10.4054412841796999</v>
      </c>
    </row>
    <row r="26" spans="1:20" ht="15.75" customHeight="1">
      <c r="A26" s="31" t="n">
        <v>100</v>
      </c>
      <c r="B26" s="25" t="s">
        <v>576</v>
      </c>
      <c r="C26" s="26" t="n">
        <v>44</v>
      </c>
      <c r="D26" s="26" t="n">
        <v>221.099999999999994</v>
      </c>
      <c r="E26" s="26" t="n">
        <v>33.7349999999999994</v>
      </c>
      <c r="F26" s="26" t="n">
        <v>2.17600000000000016</v>
      </c>
      <c r="G26" s="26" t="n">
        <v>2.59399999999999986</v>
      </c>
      <c r="H26" s="27">
        <f>F26/E26</f>
        <v>0.0645027419593890006</v>
      </c>
      <c r="I26" s="28">
        <f>G26/E26</f>
        <v>0.0768934341188679937</v>
      </c>
      <c r="J26" s="28">
        <f>SQRT(F26)/E26</f>
        <v>0.0437269041994029983</v>
      </c>
      <c r="L26" s="26" t="n">
        <v>4000</v>
      </c>
      <c r="M26" s="26" t="n">
        <v>0.472799999999999976</v>
      </c>
      <c r="N26" s="26" t="n">
        <v>0.0137000000000000011</v>
      </c>
      <c r="O26" s="26" t="n">
        <v>0.47278399999999996</v>
      </c>
      <c r="P26" s="18">
        <f>4*O26*L26/D26</f>
        <v>34.213224785165103</v>
      </c>
      <c r="R26" s="28" t="n">
        <v>18.9078121185302024</v>
      </c>
      <c r="S26" s="28" t="n">
        <v>15.3079700469969993</v>
      </c>
      <c r="T26" s="38">
        <f>S26-R26</f>
        <v>-3.59984207153320002</v>
      </c>
    </row>
    <row r="27" spans="1:16" ht="15.75" customHeight="1">
      <c r="A27" s="32" t="n">
        <v>25</v>
      </c>
      <c r="B27" s="25" t="s">
        <v>577</v>
      </c>
      <c r="C27" s="26" t="n">
        <v>5</v>
      </c>
      <c r="D27" s="26" t="n">
        <v>143.599999999999994</v>
      </c>
      <c r="E27" s="26" t="n">
        <v>22.4570000000000007</v>
      </c>
      <c r="F27" s="26" t="n">
        <v>1.46700000000000008</v>
      </c>
      <c r="G27" s="26" t="n">
        <v>1.78000000000000007</v>
      </c>
      <c r="H27" s="27">
        <f>F27/E27</f>
        <v>0.0653248430333530017</v>
      </c>
      <c r="I27" s="28">
        <f>G27/E27</f>
        <v>0.0792625907289490073</v>
      </c>
      <c r="J27" s="28">
        <f>SQRT(F27)/E27</f>
        <v>0.0539340853315749946</v>
      </c>
      <c r="L27" s="26" t="n">
        <v>2000</v>
      </c>
      <c r="M27" s="26" t="n">
        <v>0.347799999999999976</v>
      </c>
      <c r="N27" s="26" t="n">
        <v>0.0019</v>
      </c>
      <c r="O27" s="26" t="n">
        <v>0.347804999999999964</v>
      </c>
      <c r="P27" s="18">
        <f>4*O27*L27/D27</f>
        <v>19.3763231197772008</v>
      </c>
    </row>
    <row r="28" spans="1:20" ht="15.75" customHeight="1">
      <c r="A28" s="32" t="n">
        <v>25</v>
      </c>
      <c r="B28" s="25" t="s">
        <v>578</v>
      </c>
      <c r="C28" s="26" t="n">
        <v>13</v>
      </c>
      <c r="D28" s="26" t="n">
        <v>116.5</v>
      </c>
      <c r="E28" s="26" t="n">
        <v>19.4209999999999994</v>
      </c>
      <c r="F28" s="26" t="n">
        <v>1.46900000000000013</v>
      </c>
      <c r="G28" s="26" t="n">
        <v>2.10599999999999987</v>
      </c>
      <c r="H28" s="27">
        <f>F28/E28</f>
        <v>0.0756397713814940076</v>
      </c>
      <c r="I28" s="28">
        <f>G28/E28</f>
        <v>0.108439318263735007</v>
      </c>
      <c r="J28" s="28">
        <f>SQRT(F28)/E28</f>
        <v>0.0624078627305530009</v>
      </c>
      <c r="L28" s="26" t="n">
        <v>2000</v>
      </c>
      <c r="M28" s="26" t="n">
        <v>0.355499999999999972</v>
      </c>
      <c r="N28" s="26" t="n">
        <v>0.002</v>
      </c>
      <c r="O28" s="26" t="n">
        <v>0.355518999999999963</v>
      </c>
      <c r="P28" s="18">
        <f>4*O28*L28/D28</f>
        <v>24.4133218884119998</v>
      </c>
      <c r="R28" s="28" t="n">
        <v>15.3165464401244993</v>
      </c>
      <c r="S28" s="28" t="n">
        <v>14.8909797668456996</v>
      </c>
      <c r="T28" s="38">
        <f>S28-R28</f>
        <v>-0.425566673278799978</v>
      </c>
    </row>
    <row r="29" spans="1:20" ht="15.75" customHeight="1">
      <c r="A29" s="32" t="n">
        <v>25</v>
      </c>
      <c r="B29" s="25" t="s">
        <v>579</v>
      </c>
      <c r="C29" s="26" t="n">
        <v>21</v>
      </c>
      <c r="D29" s="26" t="n">
        <v>87.4000000000000057</v>
      </c>
      <c r="E29" s="26" t="n">
        <v>23.0060000000000002</v>
      </c>
      <c r="F29" s="26" t="n">
        <v>1.52400000000000002</v>
      </c>
      <c r="G29" s="26" t="n">
        <v>2.2240000000000002</v>
      </c>
      <c r="H29" s="27">
        <f>F29/E29</f>
        <v>0.0662435886290530007</v>
      </c>
      <c r="I29" s="28">
        <f>G29/E29</f>
        <v>0.0966704337998779906</v>
      </c>
      <c r="J29" s="28">
        <f>SQRT(F29)/E29</f>
        <v>0.0536600864540070077</v>
      </c>
      <c r="L29" s="26" t="n">
        <v>1000</v>
      </c>
      <c r="M29" s="26" t="n">
        <v>0.749000000000000021</v>
      </c>
      <c r="N29" s="26" t="n">
        <v>0.0350999999999999979</v>
      </c>
      <c r="O29" s="26" t="n">
        <v>0.727834000000000003</v>
      </c>
      <c r="P29" s="18">
        <f>4*O29*L29/D29</f>
        <v>33.3104805491990987</v>
      </c>
      <c r="R29" s="28" t="n">
        <v>19.0413303375243999</v>
      </c>
      <c r="S29" s="28" t="n">
        <v>14.8847780227660991</v>
      </c>
      <c r="T29" s="38">
        <f>S29-R29</f>
        <v>-4.15655231475829989</v>
      </c>
    </row>
    <row r="30" spans="1:20" ht="15.75" customHeight="1">
      <c r="A30" s="32" t="n">
        <v>25</v>
      </c>
      <c r="B30" s="25" t="s">
        <v>580</v>
      </c>
      <c r="C30" s="26" t="n">
        <v>29</v>
      </c>
      <c r="D30" s="26" t="n">
        <v>43.7000000000000028</v>
      </c>
      <c r="E30" s="26" t="n">
        <v>14.5869999999999997</v>
      </c>
      <c r="F30" s="26" t="n">
        <v>0.920000000000000107</v>
      </c>
      <c r="G30" s="26" t="n">
        <v>1.51499999999999968</v>
      </c>
      <c r="H30" s="27">
        <f>F30/E30</f>
        <v>0.0630698567217389972</v>
      </c>
      <c r="I30" s="28">
        <f>G30/E30</f>
        <v>0.103859601014601988</v>
      </c>
      <c r="J30" s="28">
        <f>SQRT(F30)/E30</f>
        <v>0.065754871094984999</v>
      </c>
      <c r="L30" s="26" t="n">
        <v>1000</v>
      </c>
      <c r="M30" s="26" t="n">
        <v>0.458800000000000008</v>
      </c>
      <c r="N30" s="26" t="n">
        <v>0.00160000000000000009</v>
      </c>
      <c r="O30" s="26" t="n">
        <v>0.458826999999999963</v>
      </c>
      <c r="P30" s="18">
        <f>4*O30*L30/D30</f>
        <v>41.997894736842099</v>
      </c>
      <c r="R30" s="28" t="n">
        <v>24.5624446868895987</v>
      </c>
      <c r="S30" s="28" t="n">
        <v>17.3826351165770987</v>
      </c>
      <c r="T30" s="38">
        <f>S30-R30</f>
        <v>-7.1798095703125</v>
      </c>
    </row>
    <row r="31" spans="1:20" ht="15.75" customHeight="1">
      <c r="A31" s="32" t="n">
        <v>25</v>
      </c>
      <c r="B31" s="25" t="s">
        <v>581</v>
      </c>
      <c r="C31" s="26" t="n">
        <v>35</v>
      </c>
      <c r="D31" s="26" t="n">
        <v>97.5999999999999943</v>
      </c>
      <c r="E31" s="26" t="n">
        <v>22.9830000000000005</v>
      </c>
      <c r="F31" s="26" t="n">
        <v>1.29099999999999993</v>
      </c>
      <c r="G31" s="26" t="n">
        <v>1.78200000000000003</v>
      </c>
      <c r="H31" s="27">
        <f>F31/E31</f>
        <v>0.0561719531827869911</v>
      </c>
      <c r="I31" s="28">
        <f>G31/E31</f>
        <v>0.077535569768960011</v>
      </c>
      <c r="J31" s="28">
        <f>SQRT(F31)/E31</f>
        <v>0.049437488984522</v>
      </c>
      <c r="L31" s="26" t="n">
        <v>2000</v>
      </c>
      <c r="M31" s="26" t="n">
        <v>0.258599999999999985</v>
      </c>
      <c r="N31" s="26" t="n">
        <v>0.000599999999999999822</v>
      </c>
      <c r="O31" s="26" t="n">
        <v>0.258604000000000012</v>
      </c>
      <c r="P31" s="18">
        <f>4*O31*L31/D31</f>
        <v>21.1970491803279018</v>
      </c>
      <c r="R31" s="28" t="n">
        <v>27.2093868255614915</v>
      </c>
      <c r="S31" s="28" t="n">
        <v>18.5746345520018927</v>
      </c>
      <c r="T31" s="38">
        <f>S31-R31</f>
        <v>-8.63475227355960051</v>
      </c>
    </row>
    <row r="32" spans="1:20" ht="15.75" customHeight="1">
      <c r="A32" s="33" t="n">
        <v>1000</v>
      </c>
      <c r="B32" s="25" t="s">
        <v>582</v>
      </c>
      <c r="C32" s="26" t="n">
        <v>6</v>
      </c>
      <c r="D32" s="26" t="n">
        <v>40.5</v>
      </c>
      <c r="E32" s="26" t="n">
        <v>16.2049999999999983</v>
      </c>
      <c r="F32" s="26" t="n">
        <v>0.34000000000000008</v>
      </c>
      <c r="G32" s="26" t="n">
        <v>0.948000000000000043</v>
      </c>
      <c r="H32" s="27">
        <f>F32/E32</f>
        <v>0.0209811786485649998</v>
      </c>
      <c r="I32" s="28">
        <f>G32/E32</f>
        <v>0.0585004628201169918</v>
      </c>
      <c r="J32" s="28">
        <f>SQRT(F32)/E32</f>
        <v>0.0359824245285119959</v>
      </c>
      <c r="L32" s="26" t="n">
        <v>1200</v>
      </c>
      <c r="M32" s="26" t="n">
        <v>0.0932000000000000028</v>
      </c>
      <c r="N32" s="26" t="n">
        <v>0.00469999999999999929</v>
      </c>
      <c r="O32" s="26" t="n">
        <v>0.0931990000000000052</v>
      </c>
      <c r="P32" s="18">
        <f>4*O32*L32/D32</f>
        <v>11.0458074074074002</v>
      </c>
      <c r="R32" s="28" t="n">
        <v>25.0831356048582919</v>
      </c>
      <c r="S32" s="28" t="n">
        <v>15.8140211105345987</v>
      </c>
      <c r="T32" s="38">
        <f>S32-R32</f>
        <v>-9.26911449432370027</v>
      </c>
    </row>
    <row r="33" spans="1:20" ht="15.75" customHeight="1">
      <c r="A33" s="33" t="n">
        <v>1000</v>
      </c>
      <c r="B33" s="25" t="s">
        <v>583</v>
      </c>
      <c r="C33" s="26" t="n">
        <v>14</v>
      </c>
      <c r="D33" s="26" t="n">
        <v>39.2000000000000028</v>
      </c>
      <c r="E33" s="26" t="n">
        <v>16.3049999999999997</v>
      </c>
      <c r="F33" s="26" t="n">
        <v>0.696999999999999975</v>
      </c>
      <c r="G33" s="26" t="n">
        <v>1.15100000000000002</v>
      </c>
      <c r="H33" s="27">
        <f>F33/E33</f>
        <v>0.0427476234283959933</v>
      </c>
      <c r="I33" s="28">
        <f>G33/E33</f>
        <v>0.0705918429929470115</v>
      </c>
      <c r="J33" s="28">
        <f>SQRT(F33)/E33</f>
        <v>0.0512030210726569912</v>
      </c>
      <c r="L33" s="26" t="n">
        <v>2000</v>
      </c>
      <c r="M33" s="26" t="n">
        <v>0.0583999999999999986</v>
      </c>
      <c r="N33" s="26" t="n">
        <v>0.00169999999999999973</v>
      </c>
      <c r="O33" s="26" t="n">
        <v>0.0584379999999999988</v>
      </c>
      <c r="P33" s="18">
        <f>4*O33*L33/D33</f>
        <v>11.9261224489795996</v>
      </c>
      <c r="R33" s="28" t="n">
        <v>17.3990631103514986</v>
      </c>
      <c r="S33" s="28" t="n">
        <v>14.8447484970091992</v>
      </c>
      <c r="T33" s="38">
        <f>S33-R33</f>
        <v>-2.55431461334229981</v>
      </c>
    </row>
    <row r="34" spans="1:20" ht="15.75" customHeight="1">
      <c r="A34" s="33" t="n">
        <v>1000</v>
      </c>
      <c r="B34" s="25" t="s">
        <v>584</v>
      </c>
      <c r="C34" s="26" t="n">
        <v>22</v>
      </c>
      <c r="D34" s="26" t="n">
        <v>51.2000000000000028</v>
      </c>
      <c r="E34" s="26" t="n">
        <v>17.4439999999999991</v>
      </c>
      <c r="F34" s="26" t="n">
        <v>0.595999999999999996</v>
      </c>
      <c r="G34" s="26" t="n">
        <v>1.10699999999999998</v>
      </c>
      <c r="H34" s="27">
        <f>F34/E34</f>
        <v>0.0341664755789959962</v>
      </c>
      <c r="I34" s="28">
        <f>G34/E34</f>
        <v>0.0634602155468930107</v>
      </c>
      <c r="J34" s="28">
        <f>SQRT(F34)/E34</f>
        <v>0.0442564986599829968</v>
      </c>
      <c r="L34" s="26" t="n">
        <v>500</v>
      </c>
      <c r="M34" s="26" t="n">
        <v>0.169699999999999962</v>
      </c>
      <c r="N34" s="26" t="n">
        <v>0.00640000000000000036</v>
      </c>
      <c r="O34" s="26" t="n">
        <v>0.169742000000000015</v>
      </c>
      <c r="P34" s="18">
        <f>4*O34*L34/D34</f>
        <v>6.63054687500000028</v>
      </c>
      <c r="R34" s="28" t="n">
        <v>18.2963008880614915</v>
      </c>
      <c r="S34" s="28" t="n">
        <v>12.8405237197875</v>
      </c>
      <c r="T34" s="38">
        <f>S34-R34</f>
        <v>-5.45577716827400039</v>
      </c>
    </row>
    <row r="35" spans="1:20" ht="15.75" customHeight="1">
      <c r="A35" s="33" t="n">
        <v>1000</v>
      </c>
      <c r="B35" s="25" t="s">
        <v>585</v>
      </c>
      <c r="C35" s="26" t="n">
        <v>30</v>
      </c>
      <c r="D35" s="26" t="n">
        <v>43.6000000000000014</v>
      </c>
      <c r="E35" s="26" t="n">
        <v>18.6479999999999997</v>
      </c>
      <c r="F35" s="26" t="n">
        <v>0.800999999999999801</v>
      </c>
      <c r="G35" s="26" t="n">
        <v>1.21999999999999997</v>
      </c>
      <c r="H35" s="27">
        <f>F35/E35</f>
        <v>0.0429536679536680044</v>
      </c>
      <c r="I35" s="28">
        <f>G35/E35</f>
        <v>0.0654225654225649933</v>
      </c>
      <c r="J35" s="28">
        <f>SQRT(F35)/E35</f>
        <v>0.047993674035316003</v>
      </c>
      <c r="L35" s="26" t="n">
        <v>2000</v>
      </c>
      <c r="M35" s="26" t="n">
        <v>0.045</v>
      </c>
      <c r="N35" s="26" t="n">
        <v>0.0379000000000000004</v>
      </c>
      <c r="P35" s="18" t="s">
        <v>554</v>
      </c>
      <c r="R35" s="28" t="n">
        <v>21.9923553466795987</v>
      </c>
      <c r="S35" s="28" t="n">
        <v>17.3664951324462002</v>
      </c>
      <c r="T35" s="38">
        <f>S35-R35</f>
        <v>-4.62586021423340021</v>
      </c>
    </row>
    <row r="36" spans="1:20" ht="15.75" customHeight="1">
      <c r="A36" s="33" t="n">
        <v>1000</v>
      </c>
      <c r="B36" s="25" t="s">
        <v>586</v>
      </c>
      <c r="C36" s="26" t="n">
        <v>36</v>
      </c>
      <c r="D36" s="26" t="n">
        <v>39.3999999999999986</v>
      </c>
      <c r="E36" s="26" t="n">
        <v>25.7510000000000012</v>
      </c>
      <c r="F36" s="26" t="n">
        <v>1.46700000000000008</v>
      </c>
      <c r="G36" s="26" t="n">
        <v>2.08099999999999996</v>
      </c>
      <c r="H36" s="27">
        <f>F36/E36</f>
        <v>0.056968661411207</v>
      </c>
      <c r="I36" s="28">
        <f>G36/E36</f>
        <v>0.0808123956351210104</v>
      </c>
      <c r="J36" s="28">
        <f>SQRT(F36)/E36</f>
        <v>0.047034979390749001</v>
      </c>
      <c r="L36" s="26" t="n">
        <v>1000</v>
      </c>
      <c r="M36" s="26" t="n">
        <v>0.059399999999999995</v>
      </c>
      <c r="N36" s="26" t="n">
        <v>0.00440000000000000036</v>
      </c>
      <c r="O36" s="26" t="n">
        <v>0.0593849999999999945</v>
      </c>
      <c r="P36" s="18">
        <f>4*O36*L36/D36</f>
        <v>6.02893401015228036</v>
      </c>
      <c r="R36" s="28" t="n">
        <v>24.4275302886961967</v>
      </c>
      <c r="S36" s="28" t="n">
        <v>16.4426231384276988</v>
      </c>
      <c r="T36" s="38">
        <f>S36-R36</f>
        <v>-7.98490715026849962</v>
      </c>
    </row>
    <row r="37" spans="1:20" ht="15.75" customHeight="1">
      <c r="A37" s="33" t="n">
        <v>1000</v>
      </c>
      <c r="B37" s="25" t="s">
        <v>587</v>
      </c>
      <c r="C37" s="26" t="n">
        <v>45</v>
      </c>
      <c r="D37" s="26" t="n">
        <v>69.7000000000000028</v>
      </c>
      <c r="E37" s="26" t="n">
        <v>21.7910000000000004</v>
      </c>
      <c r="F37" s="26" t="n">
        <v>0.817999999999999794</v>
      </c>
      <c r="G37" s="26" t="n">
        <v>1.19300000000000006</v>
      </c>
      <c r="H37" s="27">
        <f>F37/E37</f>
        <v>0.0375384332981509949</v>
      </c>
      <c r="I37" s="28">
        <f>G37/E37</f>
        <v>0.054747372768574003</v>
      </c>
      <c r="J37" s="28">
        <f>SQRT(F37)/E37</f>
        <v>0.0415049114023040033</v>
      </c>
      <c r="L37" s="26" t="n">
        <v>1000</v>
      </c>
      <c r="M37" s="26" t="n">
        <v>0.220500000000000007</v>
      </c>
      <c r="N37" s="26" t="n">
        <v>0.119799999999999995</v>
      </c>
      <c r="O37" s="26" t="n">
        <v>0.0807569999999999766</v>
      </c>
      <c r="P37" s="18">
        <f>4*O37*L37/D37</f>
        <v>4.6345480631276903</v>
      </c>
      <c r="R37" s="28" t="n">
        <v>18.3091201782225994</v>
      </c>
      <c r="S37" s="28" t="n">
        <v>15.0934143066406019</v>
      </c>
      <c r="T37" s="38">
        <f>S37-R37</f>
        <v>-3.21570587158200016</v>
      </c>
    </row>
    <row r="38" spans="1:20" ht="15.75" customHeight="1">
      <c r="A38" s="34" t="n">
        <v>650</v>
      </c>
      <c r="B38" s="25" t="s">
        <v>588</v>
      </c>
      <c r="C38" s="26" t="n">
        <v>7</v>
      </c>
      <c r="D38" s="26" t="n">
        <v>143.800000000000011</v>
      </c>
      <c r="E38" s="26" t="n">
        <v>22.3679999999999986</v>
      </c>
      <c r="F38" s="26" t="n">
        <v>0.555000000000000071</v>
      </c>
      <c r="G38" s="26" t="n">
        <v>1.05499999999999994</v>
      </c>
      <c r="H38" s="27">
        <f>F38/E38</f>
        <v>0.0248122317596569975</v>
      </c>
      <c r="I38" s="28">
        <f>G38/E38</f>
        <v>0.0471655937052929985</v>
      </c>
      <c r="J38" s="28">
        <f>SQRT(F38)/E38</f>
        <v>0.0333057591777349948</v>
      </c>
      <c r="L38" s="26" t="n">
        <v>1200</v>
      </c>
      <c r="M38" s="26" t="n">
        <v>0.217399999999999993</v>
      </c>
      <c r="N38" s="26" t="n">
        <v>0.002</v>
      </c>
      <c r="O38" s="26" t="n">
        <v>0.21741299999999999</v>
      </c>
      <c r="P38" s="18">
        <f>4*O38*L38/D38</f>
        <v>7.25717941585535975</v>
      </c>
      <c r="R38" s="28" t="n">
        <v>16.0105876922606996</v>
      </c>
      <c r="S38" s="28" t="n">
        <v>13.3181905746459002</v>
      </c>
      <c r="T38" s="38">
        <f>S38-R38</f>
        <v>-2.69239711761479983</v>
      </c>
    </row>
    <row r="39" spans="1:20" ht="15.75" customHeight="1">
      <c r="A39" s="34" t="n">
        <v>650</v>
      </c>
      <c r="B39" s="25" t="s">
        <v>589</v>
      </c>
      <c r="C39" s="26" t="n">
        <v>15</v>
      </c>
      <c r="D39" s="26" t="n">
        <v>174.400000000000006</v>
      </c>
      <c r="E39" s="26" t="n">
        <v>24.8140000000000001</v>
      </c>
      <c r="F39" s="26" t="n">
        <v>0.952999999999999936</v>
      </c>
      <c r="G39" s="26" t="n">
        <v>1.68399999999999999</v>
      </c>
      <c r="H39" s="27">
        <f>F39/E39</f>
        <v>0.0384057386958970035</v>
      </c>
      <c r="I39" s="28">
        <f>G39/E39</f>
        <v>0.067864914967357004</v>
      </c>
      <c r="J39" s="28">
        <f>SQRT(F39)/E39</f>
        <v>0.0393413874808280006</v>
      </c>
      <c r="L39" s="26" t="n">
        <v>1000</v>
      </c>
      <c r="M39" s="26" t="n">
        <v>0.288499999999999979</v>
      </c>
      <c r="N39" s="26" t="n">
        <v>0.00160000000000000009</v>
      </c>
      <c r="O39" s="26" t="n">
        <v>0.288517000000000081</v>
      </c>
      <c r="P39" s="18">
        <f>4*O39*L39/D39</f>
        <v>6.61736238532110033</v>
      </c>
      <c r="R39" s="28" t="n">
        <v>15.6623792648315003</v>
      </c>
      <c r="S39" s="28" t="n">
        <v>12.3526210784912003</v>
      </c>
      <c r="T39" s="38">
        <f>S39-R39</f>
        <v>-3.30975818634030006</v>
      </c>
    </row>
    <row r="40" spans="1:20" ht="15.75" customHeight="1">
      <c r="A40" s="34" t="n">
        <v>650</v>
      </c>
      <c r="B40" s="25" t="s">
        <v>590</v>
      </c>
      <c r="C40" s="26" t="n">
        <v>23</v>
      </c>
      <c r="D40" s="26" t="n">
        <v>162.099999999999994</v>
      </c>
      <c r="E40" s="26" t="n">
        <v>24.3790000000000013</v>
      </c>
      <c r="F40" s="26" t="n">
        <v>1.08499999999999996</v>
      </c>
      <c r="G40" s="26" t="n">
        <v>1.71600000000000001</v>
      </c>
      <c r="H40" s="27">
        <f>F40/E40</f>
        <v>0.0445055170433569991</v>
      </c>
      <c r="I40" s="28">
        <f>G40/E40</f>
        <v>0.0703884490750240044</v>
      </c>
      <c r="J40" s="28">
        <f>SQRT(F40)/E40</f>
        <v>0.0427266636367359975</v>
      </c>
      <c r="L40" s="26" t="n">
        <v>1000</v>
      </c>
      <c r="M40" s="26" t="n">
        <v>0.555600000000000005</v>
      </c>
      <c r="N40" s="26" t="n">
        <v>0.00729999999999999982</v>
      </c>
      <c r="O40" s="26" t="n">
        <v>0.555622999999999934</v>
      </c>
      <c r="P40" s="18">
        <f>4*O40*L40/D40</f>
        <v>13.7106230721777003</v>
      </c>
      <c r="R40" s="28" t="n">
        <v>19.617225646972603</v>
      </c>
      <c r="S40" s="28" t="n">
        <v>11.4240894317625994</v>
      </c>
      <c r="T40" s="38">
        <f>S40-R40</f>
        <v>-8.19313621521000002</v>
      </c>
    </row>
    <row r="41" spans="1:20" ht="15.75" customHeight="1">
      <c r="A41" s="34" t="n">
        <v>650</v>
      </c>
      <c r="B41" s="25" t="s">
        <v>591</v>
      </c>
      <c r="C41" s="26" t="n">
        <v>46</v>
      </c>
      <c r="D41" s="26" t="n">
        <v>30</v>
      </c>
      <c r="E41" s="26" t="n">
        <v>17.0450000000000017</v>
      </c>
      <c r="F41" s="26" t="n">
        <v>0.571999999999999975</v>
      </c>
      <c r="G41" s="26" t="n">
        <v>1.29400000000000004</v>
      </c>
      <c r="H41" s="27">
        <f>F41/E41</f>
        <v>0.0335582282194190018</v>
      </c>
      <c r="I41" s="28">
        <f>G41/E41</f>
        <v>0.0759166911117629972</v>
      </c>
      <c r="J41" s="28">
        <f>SQRT(F41)/E41</f>
        <v>0.044371183106340002</v>
      </c>
      <c r="L41" s="26" t="n">
        <v>1000</v>
      </c>
      <c r="M41" s="26" t="n">
        <v>0.0894999999999999751</v>
      </c>
      <c r="N41" s="26" t="n">
        <v>0.023400000000000003</v>
      </c>
      <c r="O41" s="26" t="n">
        <v>0.0847450000000000081</v>
      </c>
      <c r="P41" s="18">
        <f>4*O41*L41/D41</f>
        <v>11.2993333333332995</v>
      </c>
      <c r="R41" s="28" t="n">
        <v>21.3354339599608913</v>
      </c>
      <c r="S41" s="28" t="n">
        <v>16.1197071075438991</v>
      </c>
      <c r="T41" s="38">
        <f>S41-R41</f>
        <v>-5.21572685241700018</v>
      </c>
    </row>
    <row r="42" spans="1:20" ht="15.75" customHeight="1">
      <c r="A42" s="35" t="n">
        <v>250</v>
      </c>
      <c r="B42" s="25" t="s">
        <v>592</v>
      </c>
      <c r="C42" s="26" t="n">
        <v>8</v>
      </c>
      <c r="D42" s="26" t="n">
        <v>120.700000000000003</v>
      </c>
      <c r="E42" s="26" t="n">
        <v>26.5809999999999995</v>
      </c>
      <c r="F42" s="26" t="n">
        <v>1.09000000000000007</v>
      </c>
      <c r="G42" s="26" t="n">
        <v>1.54299999999999997</v>
      </c>
      <c r="H42" s="27">
        <f>F42/E42</f>
        <v>0.041006734133403997</v>
      </c>
      <c r="I42" s="28">
        <f>G42/E42</f>
        <v>0.0580489823558179996</v>
      </c>
      <c r="J42" s="28">
        <f>SQRT(F42)/E42</f>
        <v>0.0392773278240500012</v>
      </c>
      <c r="L42" s="26" t="n">
        <v>1200</v>
      </c>
      <c r="M42" s="26" t="n">
        <v>0.210499999999999998</v>
      </c>
      <c r="N42" s="26" t="n">
        <v>0.00719999999999999929</v>
      </c>
      <c r="O42" s="26" t="n">
        <v>0.210475999999999974</v>
      </c>
      <c r="P42" s="18">
        <f>4*O42*L42/D42</f>
        <v>8.37021375310687965</v>
      </c>
      <c r="R42" s="28" t="n">
        <v>17.205455780029201</v>
      </c>
      <c r="S42" s="28" t="n">
        <v>13.4800510406494016</v>
      </c>
      <c r="T42" s="38">
        <f>S42-R42</f>
        <v>-3.72540473937980021</v>
      </c>
    </row>
    <row r="43" spans="1:20" ht="15.75" customHeight="1">
      <c r="A43" s="35" t="n">
        <v>250</v>
      </c>
      <c r="B43" s="25" t="s">
        <v>593</v>
      </c>
      <c r="C43" s="26" t="n">
        <v>16</v>
      </c>
      <c r="D43" s="26" t="n">
        <v>184.5</v>
      </c>
      <c r="E43" s="26" t="n">
        <v>27.3730000000000011</v>
      </c>
      <c r="F43" s="26" t="n">
        <v>1.0149999999999999</v>
      </c>
      <c r="G43" s="26" t="n">
        <v>1.4870000000000001</v>
      </c>
      <c r="H43" s="27">
        <f>F43/E43</f>
        <v>0.0370803346363199982</v>
      </c>
      <c r="I43" s="28">
        <f>G43/E43</f>
        <v>0.0543236035509440018</v>
      </c>
      <c r="J43" s="28">
        <f>SQRT(F43)/E43</f>
        <v>0.0368053221780769979</v>
      </c>
      <c r="L43" s="26" t="n">
        <v>1000</v>
      </c>
      <c r="M43" s="26" t="n">
        <v>0.421700000000000053</v>
      </c>
      <c r="N43" s="26" t="n">
        <v>0.0009</v>
      </c>
      <c r="O43" s="26" t="n">
        <v>0.421650999999999954</v>
      </c>
      <c r="P43" s="18">
        <f>4*O43*L43/D43</f>
        <v>9.14148509485094962</v>
      </c>
      <c r="R43" s="28" t="n">
        <v>15.179306030273402</v>
      </c>
      <c r="S43" s="28" t="n">
        <v>13.5600299835204989</v>
      </c>
      <c r="T43" s="38">
        <f>S43-R43</f>
        <v>-1.61927604675289993</v>
      </c>
    </row>
    <row r="44" spans="1:20" ht="15.75" customHeight="1">
      <c r="A44" s="35" t="n">
        <v>250</v>
      </c>
      <c r="B44" s="25" t="s">
        <v>594</v>
      </c>
      <c r="C44" s="26" t="n">
        <v>24</v>
      </c>
      <c r="D44" s="26" t="n">
        <v>148.900000000000006</v>
      </c>
      <c r="E44" s="26" t="n">
        <v>23.4009999999999998</v>
      </c>
      <c r="F44" s="26" t="n">
        <v>1.53099999999999969</v>
      </c>
      <c r="G44" s="26" t="n">
        <v>1.82300000000000004</v>
      </c>
      <c r="H44" s="27">
        <f>F44/E44</f>
        <v>0.065424554506217989</v>
      </c>
      <c r="I44" s="28">
        <f>G44/E44</f>
        <v>0.0779026537327460034</v>
      </c>
      <c r="J44" s="28">
        <f>SQRT(F44)/E44</f>
        <v>0.0528753406990549912</v>
      </c>
      <c r="L44" s="26" t="n">
        <v>500</v>
      </c>
      <c r="M44" s="26" t="n">
        <v>0.224800000000000022</v>
      </c>
      <c r="N44" s="26" t="n">
        <v>0.00629999999999999982</v>
      </c>
      <c r="O44" s="26" t="n">
        <v>0.224781999999999993</v>
      </c>
      <c r="P44" s="18">
        <f>4*O44*L44/D44</f>
        <v>3.01923438549362011</v>
      </c>
      <c r="R44" s="28" t="n">
        <v>17.3657875061035014</v>
      </c>
      <c r="S44" s="28" t="n">
        <v>12.1416397094725994</v>
      </c>
      <c r="T44" s="38">
        <f>S44-R44</f>
        <v>-5.22414779663090023</v>
      </c>
    </row>
    <row r="45" spans="1:20" ht="15.75" customHeight="1">
      <c r="A45" s="35" t="n">
        <v>250</v>
      </c>
      <c r="B45" s="25" t="s">
        <v>595</v>
      </c>
      <c r="C45" s="26" t="n">
        <v>32</v>
      </c>
      <c r="D45" s="26" t="n">
        <v>62.2000000000000028</v>
      </c>
      <c r="E45" s="26" t="n">
        <v>16.6529999999999951</v>
      </c>
      <c r="F45" s="26" t="n">
        <v>0.434999999999999964</v>
      </c>
      <c r="G45" s="26" t="n">
        <v>1.17700000000000005</v>
      </c>
      <c r="H45" s="27">
        <f>F45/E45</f>
        <v>0.0261214195640430002</v>
      </c>
      <c r="I45" s="28">
        <f>G45/E45</f>
        <v>0.0706779559238580024</v>
      </c>
      <c r="J45" s="28">
        <f>SQRT(F45)/E45</f>
        <v>0.0396051941340090039</v>
      </c>
      <c r="L45" s="26" t="n">
        <v>500</v>
      </c>
      <c r="M45" s="26" t="n">
        <v>0.154000000000000004</v>
      </c>
      <c r="N45" s="26" t="n">
        <v>0.0425999999999999979</v>
      </c>
      <c r="O45" s="26" t="n">
        <v>0.122338999999999998</v>
      </c>
      <c r="P45" s="18">
        <f>4*O45*L45/D45</f>
        <v>3.93372990353697993</v>
      </c>
      <c r="R45" s="28" t="n">
        <v>28.0284461975097017</v>
      </c>
      <c r="S45" s="28" t="n">
        <v>16.9610939025877983</v>
      </c>
      <c r="T45" s="38">
        <f>S45-R45</f>
        <v>-11.0673522949218999</v>
      </c>
    </row>
    <row r="46" spans="1:20" ht="15.75" customHeight="1">
      <c r="A46" s="35" t="n">
        <v>250</v>
      </c>
      <c r="B46" s="25" t="s">
        <v>596</v>
      </c>
      <c r="C46" s="26" t="n">
        <v>47</v>
      </c>
      <c r="D46" s="26" t="n">
        <v>156.19999999999996</v>
      </c>
      <c r="E46" s="26" t="n">
        <v>26.6129999999999995</v>
      </c>
      <c r="F46" s="26" t="n">
        <v>0.745999999999999996</v>
      </c>
      <c r="G46" s="26" t="n">
        <v>1.53600000000000003</v>
      </c>
      <c r="H46" s="27">
        <f>F46/E46</f>
        <v>0.028031413219103003</v>
      </c>
      <c r="I46" s="28">
        <f>G46/E46</f>
        <v>0.0577161537594410046</v>
      </c>
      <c r="J46" s="28">
        <f>SQRT(F46)/E46</f>
        <v>0.0324545491026030053</v>
      </c>
      <c r="L46" s="26" t="n">
        <v>1000</v>
      </c>
      <c r="M46" s="26" t="n">
        <v>0.133399999999999985</v>
      </c>
      <c r="N46" s="26" t="n">
        <v>0.0296999999999999975</v>
      </c>
      <c r="O46" s="26" t="n">
        <v>0.119817000000000018</v>
      </c>
      <c r="P46" s="18">
        <f>4*O46*L46/D46</f>
        <v>3.06829705505762007</v>
      </c>
      <c r="R46" s="28" t="n">
        <v>19.1207294464111008</v>
      </c>
      <c r="S46" s="28" t="n">
        <v>14.9771738052368004</v>
      </c>
      <c r="T46" s="38">
        <f>S46-R46</f>
        <v>-4.14355564117430042</v>
      </c>
    </row>
    <row r="47" spans="1:20" ht="15.75" customHeight="1">
      <c r="A47" s="36" t="n">
        <v>100</v>
      </c>
      <c r="B47" s="25" t="s">
        <v>597</v>
      </c>
      <c r="C47" s="26" t="n">
        <v>37</v>
      </c>
      <c r="D47" s="26" t="n">
        <v>83.0999999999999801</v>
      </c>
      <c r="E47" s="26" t="n">
        <v>18.3470000000000013</v>
      </c>
      <c r="F47" s="26" t="n">
        <v>0.805000000000000071</v>
      </c>
      <c r="G47" s="26" t="n">
        <v>1.53299999999999992</v>
      </c>
      <c r="H47" s="27">
        <f>F47/E47</f>
        <v>0.0438763830599009985</v>
      </c>
      <c r="I47" s="28">
        <f>G47/E47</f>
        <v>0.0835558946966810012</v>
      </c>
      <c r="J47" s="28">
        <f>SQRT(F47)/E47</f>
        <v>0.0489027046517859976</v>
      </c>
      <c r="L47" s="26" t="n">
        <v>1000</v>
      </c>
      <c r="M47" s="26" t="n">
        <v>0.203299999999999992</v>
      </c>
      <c r="N47" s="26" t="n">
        <v>0.00459999999999999964</v>
      </c>
      <c r="O47" s="26" t="n">
        <v>0.203334999999999999</v>
      </c>
      <c r="P47" s="18">
        <f>4*O47*L47/D47</f>
        <v>9.78748495788206974</v>
      </c>
      <c r="R47" s="28" t="n">
        <v>22.7664184570312003</v>
      </c>
      <c r="S47" s="28" t="n">
        <v>15.6637020111083007</v>
      </c>
      <c r="T47" s="38">
        <f>S47-R47</f>
        <v>-7.10271644592290041</v>
      </c>
    </row>
    <row r="48" spans="1:20" ht="15.75" customHeight="1">
      <c r="A48" s="36" t="n">
        <v>100</v>
      </c>
      <c r="B48" s="25" t="s">
        <v>598</v>
      </c>
      <c r="C48" s="26" t="n">
        <v>38</v>
      </c>
      <c r="D48" s="26" t="n">
        <v>177.599999999999994</v>
      </c>
      <c r="E48" s="26" t="n">
        <v>26.4499999999999993</v>
      </c>
      <c r="F48" s="26" t="n">
        <v>1.31299999999999994</v>
      </c>
      <c r="G48" s="26" t="n">
        <v>1.85500000000000007</v>
      </c>
      <c r="H48" s="27">
        <f>F48/E48</f>
        <v>0.0496408317580339986</v>
      </c>
      <c r="I48" s="28">
        <f>G48/E48</f>
        <v>0.0701323251417770077</v>
      </c>
      <c r="J48" s="28">
        <f>SQRT(F48)/E48</f>
        <v>0.0433218193138190077</v>
      </c>
      <c r="P48" s="18" t="s">
        <v>554</v>
      </c>
      <c r="R48" s="28" t="n">
        <v>21.5522689819335014</v>
      </c>
      <c r="S48" s="28" t="n">
        <v>15.1109075546263991</v>
      </c>
      <c r="T48" s="38">
        <f>S48-R48</f>
        <v>-6.4413614273070996</v>
      </c>
    </row>
    <row r="49" spans="1:20" ht="15.75" customHeight="1">
      <c r="A49" s="36" t="n">
        <v>100</v>
      </c>
      <c r="B49" s="25" t="s">
        <v>599</v>
      </c>
      <c r="C49" s="26" t="n">
        <v>39</v>
      </c>
      <c r="D49" s="26" t="n">
        <v>213.300000000000011</v>
      </c>
      <c r="E49" s="26" t="n">
        <v>28.4669999999999987</v>
      </c>
      <c r="F49" s="26" t="n">
        <v>0.885999999999999943</v>
      </c>
      <c r="G49" s="26" t="n">
        <v>1.4910000000000001</v>
      </c>
      <c r="H49" s="27">
        <f>F49/E49</f>
        <v>0.0311237573330519979</v>
      </c>
      <c r="I49" s="28">
        <f>G49/E49</f>
        <v>0.0523764358731160051</v>
      </c>
      <c r="J49" s="28">
        <f>SQRT(F49)/E49</f>
        <v>0.0330655049727760009</v>
      </c>
      <c r="L49" s="26" t="n">
        <v>1000</v>
      </c>
      <c r="M49" s="26" t="n">
        <v>0.310199999999999987</v>
      </c>
      <c r="N49" s="26" t="n">
        <v>0.0125</v>
      </c>
      <c r="O49" s="26" t="n">
        <v>0.310238999999999976</v>
      </c>
      <c r="P49" s="18">
        <f>4*O49*L49/D49</f>
        <v>5.81789029535864977</v>
      </c>
      <c r="R49" s="28" t="n">
        <v>21.0952320098875994</v>
      </c>
      <c r="S49" s="28" t="n">
        <v>14.8352203369140003</v>
      </c>
      <c r="T49" s="38">
        <f>S49-R49</f>
        <v>-6.26001167297359995</v>
      </c>
    </row>
    <row r="50" spans="1:20" ht="15.75" customHeight="1">
      <c r="A50" s="36" t="n">
        <v>100</v>
      </c>
      <c r="B50" s="25" t="s">
        <v>600</v>
      </c>
      <c r="C50" s="26" t="n">
        <v>40</v>
      </c>
      <c r="D50" s="26" t="n">
        <v>140.5</v>
      </c>
      <c r="E50" s="26" t="n">
        <v>23.2959999999999994</v>
      </c>
      <c r="F50" s="26" t="n">
        <v>0.969999999999999929</v>
      </c>
      <c r="G50" s="26" t="n">
        <v>1.89100000000000001</v>
      </c>
      <c r="H50" s="27">
        <f>F50/E50</f>
        <v>0.0416380494505489995</v>
      </c>
      <c r="I50" s="28">
        <f>G50/E50</f>
        <v>0.0811727335164840014</v>
      </c>
      <c r="J50" s="28">
        <f>SQRT(F50)/E50</f>
        <v>0.0422770338332590079</v>
      </c>
      <c r="L50" s="26" t="n">
        <v>1000</v>
      </c>
      <c r="M50" s="26" t="n">
        <v>0.132399999999999984</v>
      </c>
      <c r="N50" s="26" t="n">
        <v>0.0204000000000000004</v>
      </c>
      <c r="O50" s="26" t="n">
        <v>0.131855000000000011</v>
      </c>
      <c r="P50" s="18">
        <f>4*O50*L50/D50</f>
        <v>3.75387900355871995</v>
      </c>
      <c r="R50" s="28" t="n">
        <v>19.7051658630370916</v>
      </c>
      <c r="S50" s="28" t="n">
        <v>16.0419597625731996</v>
      </c>
      <c r="T50" s="38">
        <f>S50-R50</f>
        <v>-3.66320610046390005</v>
      </c>
    </row>
    <row r="51" spans="1:20" ht="15.75" customHeight="1">
      <c r="A51" s="36" t="n">
        <v>100</v>
      </c>
      <c r="B51" s="25" t="s">
        <v>601</v>
      </c>
      <c r="C51" s="26" t="n">
        <v>48</v>
      </c>
      <c r="D51" s="26" t="n">
        <v>175.599999999999994</v>
      </c>
      <c r="E51" s="26" t="n">
        <v>29.7749999999999986</v>
      </c>
      <c r="F51" s="26" t="n">
        <v>1.04699999999999993</v>
      </c>
      <c r="G51" s="26" t="n">
        <v>1.66300000000000008</v>
      </c>
      <c r="H51" s="27">
        <f>F51/E51</f>
        <v>0.035163727959697999</v>
      </c>
      <c r="I51" s="28">
        <f>G51/E51</f>
        <v>0.0558522250209909998</v>
      </c>
      <c r="J51" s="28">
        <f>SQRT(F51)/E51</f>
        <v>0.0343654132454380035</v>
      </c>
      <c r="L51" s="26" t="n">
        <v>1000</v>
      </c>
      <c r="M51" s="26" t="n">
        <v>0.215700000000000003</v>
      </c>
      <c r="N51" s="26" t="n">
        <v>0.0227000000000000002</v>
      </c>
      <c r="O51" s="26" t="n">
        <v>0.211941999999999986</v>
      </c>
      <c r="P51" s="18">
        <f>4*O51*L51/D51</f>
        <v>4.82783599088837967</v>
      </c>
      <c r="R51" s="28" t="n">
        <v>18.720027923583892</v>
      </c>
      <c r="S51" s="28" t="n">
        <v>14.3909511566162003</v>
      </c>
      <c r="T51" s="38">
        <f>S51-R51</f>
        <v>-4.32907676696769972</v>
      </c>
    </row>
  </sheetData>
  <mergeCells count="4">
    <mergeCell ref="D2:E2"/>
    <mergeCell ref="F2:J2"/>
    <mergeCell ref="L2:P2"/>
    <mergeCell ref="R2:T2"/>
  </mergeCells>
  <printOptions>
    <extLst>
      <ext uri="smNativeData">
        <pm:pageFlags xmlns:pm="smNativeData" id="1752044485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2044485" l="56" r="56" t="56" b="56" borderId="0" fillId="0" vertical="0"/>
        <pm:footer xmlns:pm="smNativeData" id="1752044485" l="56" r="56" t="56" b="56" borderId="0" fillId="0" vertical="2"/>
      </ext>
    </extLst>
  </headerFooter>
  <extLst>
    <ext uri="smNativeData">
      <pm:sheetPrefs xmlns:pm="smNativeData" day="175204448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Z1001"/>
  <sheetViews>
    <sheetView view="normal" workbookViewId="0">
      <selection activeCell="B1" sqref="B1:B1048576"/>
    </sheetView>
  </sheetViews>
  <sheetFormatPr baseColWidth="12" defaultColWidth="12.666667" defaultRowHeight="15.75" customHeight="1"/>
  <sheetData>
    <row r="1" spans="1:26" ht="15.75" customHeight="1">
      <c r="A1" s="37" t="s">
        <v>602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>
      <c r="A2" s="3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>
      <c r="A3" s="59" t="s">
        <v>4</v>
      </c>
      <c r="B3" s="59" t="s">
        <v>537</v>
      </c>
      <c r="C3" s="59" t="s">
        <v>603</v>
      </c>
      <c r="D3" s="60" t="s">
        <v>604</v>
      </c>
      <c r="E3" s="59" t="s">
        <v>80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>
      <c r="A4" s="62" t="s">
        <v>8</v>
      </c>
      <c r="B4" s="59" t="n">
        <v>1000</v>
      </c>
      <c r="C4" s="61" t="n">
        <v>1</v>
      </c>
      <c r="D4" s="60" t="n">
        <v>958062</v>
      </c>
      <c r="E4" s="59" t="n">
        <v>22.5</v>
      </c>
      <c r="F4" s="3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>
      <c r="A5" s="62" t="s">
        <v>8</v>
      </c>
      <c r="B5" s="59" t="n">
        <v>1000</v>
      </c>
      <c r="C5" s="61" t="n">
        <v>2</v>
      </c>
      <c r="D5" s="60" t="s">
        <v>605</v>
      </c>
      <c r="E5" s="59" t="n">
        <v>19.8999999999999986</v>
      </c>
      <c r="F5" s="3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>
      <c r="A6" s="62" t="s">
        <v>8</v>
      </c>
      <c r="B6" s="59" t="n">
        <v>1000</v>
      </c>
      <c r="C6" s="61" t="n">
        <v>3</v>
      </c>
      <c r="D6" s="60" t="s">
        <v>606</v>
      </c>
      <c r="E6" s="59" t="n">
        <v>20.6999999999999993</v>
      </c>
      <c r="F6" s="3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>
      <c r="A7" s="62" t="s">
        <v>8</v>
      </c>
      <c r="B7" s="59" t="n">
        <v>1000</v>
      </c>
      <c r="C7" s="61" t="n">
        <v>4</v>
      </c>
      <c r="D7" s="60" t="n">
        <v>936324</v>
      </c>
      <c r="E7" s="59" t="n">
        <v>7.09999999999999964</v>
      </c>
      <c r="F7" s="3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>
      <c r="A8" s="62" t="s">
        <v>8</v>
      </c>
      <c r="B8" s="59" t="n">
        <v>1000</v>
      </c>
      <c r="C8" s="61" t="n">
        <v>5</v>
      </c>
      <c r="D8" s="60" t="s">
        <v>607</v>
      </c>
      <c r="E8" s="59" t="n">
        <v>9.40000000000000036</v>
      </c>
      <c r="F8" s="3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>
      <c r="A9" s="62" t="s">
        <v>8</v>
      </c>
      <c r="B9" s="59" t="n">
        <v>1000</v>
      </c>
      <c r="C9" s="61" t="n">
        <v>6</v>
      </c>
      <c r="D9" s="60" t="s">
        <v>608</v>
      </c>
      <c r="E9" s="59" t="n">
        <v>20.3999999999999986</v>
      </c>
      <c r="F9" s="3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>
      <c r="A10" s="62" t="s">
        <v>8</v>
      </c>
      <c r="B10" s="59" t="n">
        <v>1000</v>
      </c>
      <c r="C10" s="61" t="n">
        <v>7</v>
      </c>
      <c r="D10" s="60" t="s">
        <v>609</v>
      </c>
      <c r="E10" s="59" t="n">
        <v>9.80000000000000071</v>
      </c>
      <c r="F10" s="3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>
      <c r="A11" s="62" t="s">
        <v>8</v>
      </c>
      <c r="B11" s="59" t="n">
        <v>1000</v>
      </c>
      <c r="C11" s="61" t="n">
        <v>8</v>
      </c>
      <c r="D11" s="60" t="n">
        <v>985440</v>
      </c>
      <c r="E11" s="59" t="n">
        <v>11.5</v>
      </c>
      <c r="F11" s="3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>
      <c r="A12" s="62" t="s">
        <v>8</v>
      </c>
      <c r="B12" s="59" t="n">
        <v>1000</v>
      </c>
      <c r="C12" s="61" t="n">
        <v>9</v>
      </c>
      <c r="D12" s="60" t="s">
        <v>610</v>
      </c>
      <c r="E12" s="59" t="n">
        <v>11</v>
      </c>
      <c r="F12" s="3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>
      <c r="A13" s="62" t="s">
        <v>8</v>
      </c>
      <c r="B13" s="59" t="n">
        <v>1000</v>
      </c>
      <c r="C13" s="61" t="n">
        <v>10</v>
      </c>
      <c r="D13" s="60" t="s">
        <v>611</v>
      </c>
      <c r="E13" s="59" t="n">
        <v>19.6999999999999993</v>
      </c>
      <c r="F13" s="3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>
      <c r="A14" s="62" t="s">
        <v>8</v>
      </c>
      <c r="B14" s="59" t="n">
        <v>1000</v>
      </c>
      <c r="C14" s="61" t="n">
        <v>11</v>
      </c>
      <c r="D14" s="60" t="s">
        <v>612</v>
      </c>
      <c r="E14" s="59" t="n">
        <v>14.4000000000000004</v>
      </c>
      <c r="F14" s="3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customHeight="1">
      <c r="A15" s="62" t="s">
        <v>8</v>
      </c>
      <c r="B15" s="59" t="n">
        <v>1000</v>
      </c>
      <c r="C15" s="61" t="n">
        <v>12</v>
      </c>
      <c r="D15" s="60" t="s">
        <v>613</v>
      </c>
      <c r="E15" s="59" t="n">
        <v>24.6000000000000014</v>
      </c>
      <c r="F15" s="3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customHeight="1">
      <c r="A16" s="62" t="s">
        <v>8</v>
      </c>
      <c r="B16" s="59" t="n">
        <v>1000</v>
      </c>
      <c r="C16" s="61" t="n">
        <v>13</v>
      </c>
      <c r="D16" s="60" t="s">
        <v>614</v>
      </c>
      <c r="E16" s="59" t="n">
        <v>17.3000000000000007</v>
      </c>
      <c r="F16" s="3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>
      <c r="A17" s="62" t="s">
        <v>8</v>
      </c>
      <c r="B17" s="59" t="n">
        <v>1000</v>
      </c>
      <c r="C17" s="61" t="n">
        <v>14</v>
      </c>
      <c r="D17" s="60" t="s">
        <v>615</v>
      </c>
      <c r="E17" s="59" t="n">
        <v>11.0999999999999996</v>
      </c>
      <c r="F17" s="3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>
      <c r="A18" s="62" t="s">
        <v>8</v>
      </c>
      <c r="B18" s="59" t="n">
        <v>1000</v>
      </c>
      <c r="C18" s="61" t="n">
        <v>15</v>
      </c>
      <c r="D18" s="60" t="s">
        <v>616</v>
      </c>
      <c r="E18" s="59" t="n">
        <v>21.5</v>
      </c>
      <c r="F18" s="3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>
      <c r="A19" s="62" t="s">
        <v>8</v>
      </c>
      <c r="B19" s="59" t="n">
        <v>1000</v>
      </c>
      <c r="C19" s="61" t="n">
        <v>16</v>
      </c>
      <c r="D19" s="60" t="s">
        <v>617</v>
      </c>
      <c r="E19" s="59" t="n">
        <v>19.3999999999999986</v>
      </c>
      <c r="F19" s="3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>
      <c r="A20" s="62" t="s">
        <v>8</v>
      </c>
      <c r="B20" s="59" t="n">
        <v>1000</v>
      </c>
      <c r="C20" s="61" t="n">
        <v>17</v>
      </c>
      <c r="D20" s="60" t="s">
        <v>618</v>
      </c>
      <c r="E20" s="59" t="n">
        <v>13.9000000000000004</v>
      </c>
      <c r="F20" s="3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62" t="s">
        <v>8</v>
      </c>
      <c r="B21" s="59" t="n">
        <v>1000</v>
      </c>
      <c r="C21" s="61" t="n">
        <v>18</v>
      </c>
      <c r="D21" s="60" t="s">
        <v>619</v>
      </c>
      <c r="E21" s="59" t="n">
        <v>7</v>
      </c>
      <c r="F21" s="3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62" t="s">
        <v>8</v>
      </c>
      <c r="B22" s="59" t="n">
        <v>1000</v>
      </c>
      <c r="C22" s="61" t="n">
        <v>19</v>
      </c>
      <c r="D22" s="60" t="s">
        <v>620</v>
      </c>
      <c r="E22" s="59" t="n">
        <v>14.5</v>
      </c>
      <c r="F22" s="3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62" t="s">
        <v>8</v>
      </c>
      <c r="B23" s="59" t="n">
        <v>1000</v>
      </c>
      <c r="C23" s="61" t="n">
        <v>20</v>
      </c>
      <c r="D23" s="60" t="s">
        <v>621</v>
      </c>
      <c r="E23" s="59" t="n">
        <v>16.6000000000000014</v>
      </c>
      <c r="F23" s="3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62" t="s">
        <v>8</v>
      </c>
      <c r="B24" s="59" t="n">
        <v>1000</v>
      </c>
      <c r="C24" s="61" t="n">
        <v>21</v>
      </c>
      <c r="D24" s="60" t="s">
        <v>622</v>
      </c>
      <c r="E24" s="59" t="n">
        <v>7.79999999999999982</v>
      </c>
      <c r="F24" s="3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62" t="s">
        <v>8</v>
      </c>
      <c r="B25" s="59" t="n">
        <v>1000</v>
      </c>
      <c r="C25" s="61" t="n">
        <v>22</v>
      </c>
      <c r="D25" s="60" t="s">
        <v>623</v>
      </c>
      <c r="E25" s="59" t="n">
        <v>9.5</v>
      </c>
      <c r="F25" s="3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62" t="s">
        <v>8</v>
      </c>
      <c r="B26" s="59" t="n">
        <v>1000</v>
      </c>
      <c r="C26" s="61" t="n">
        <v>23</v>
      </c>
      <c r="D26" s="60" t="s">
        <v>624</v>
      </c>
      <c r="E26" s="59" t="n">
        <v>22.3999999999999986</v>
      </c>
      <c r="F26" s="3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62" t="s">
        <v>8</v>
      </c>
      <c r="B27" s="59" t="n">
        <v>1000</v>
      </c>
      <c r="C27" s="61" t="n">
        <v>24</v>
      </c>
      <c r="D27" s="60" t="s">
        <v>625</v>
      </c>
      <c r="E27" s="59" t="n">
        <v>8.59999999999999787</v>
      </c>
      <c r="F27" s="3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62" t="s">
        <v>8</v>
      </c>
      <c r="B28" s="59" t="n">
        <v>1000</v>
      </c>
      <c r="C28" s="61" t="n">
        <v>25</v>
      </c>
      <c r="D28" s="60" t="s">
        <v>626</v>
      </c>
      <c r="E28" s="59" t="n">
        <v>18.1999999999999993</v>
      </c>
      <c r="F28" s="3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62" t="s">
        <v>8</v>
      </c>
      <c r="B29" s="59" t="n">
        <v>1000</v>
      </c>
      <c r="C29" s="61" t="n">
        <v>26</v>
      </c>
      <c r="D29" s="60" t="s">
        <v>627</v>
      </c>
      <c r="E29" s="59" t="n">
        <v>12.5</v>
      </c>
      <c r="F29" s="3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62" t="s">
        <v>8</v>
      </c>
      <c r="B30" s="59" t="n">
        <v>1000</v>
      </c>
      <c r="C30" s="61" t="n">
        <v>27</v>
      </c>
      <c r="D30" s="60" t="s">
        <v>628</v>
      </c>
      <c r="E30" s="59" t="n">
        <v>11.5</v>
      </c>
      <c r="F30" s="3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62" t="s">
        <v>8</v>
      </c>
      <c r="B31" s="59" t="n">
        <v>1000</v>
      </c>
      <c r="C31" s="61" t="n">
        <v>28</v>
      </c>
      <c r="D31" s="60" t="s">
        <v>629</v>
      </c>
      <c r="E31" s="59" t="n">
        <v>7.90000000000000036</v>
      </c>
      <c r="F31" s="3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62" t="s">
        <v>8</v>
      </c>
      <c r="B32" s="59" t="n">
        <v>1000</v>
      </c>
      <c r="C32" s="61" t="n">
        <v>29</v>
      </c>
      <c r="D32" s="60" t="s">
        <v>630</v>
      </c>
      <c r="E32" s="59" t="n">
        <v>9.5</v>
      </c>
      <c r="F32" s="3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62" t="s">
        <v>8</v>
      </c>
      <c r="B33" s="59" t="n">
        <v>1000</v>
      </c>
      <c r="C33" s="61" t="n">
        <v>30</v>
      </c>
      <c r="D33" s="60" t="s">
        <v>631</v>
      </c>
      <c r="E33" s="59" t="n">
        <v>10.0999999999999996</v>
      </c>
      <c r="F33" s="3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62" t="s">
        <v>8</v>
      </c>
      <c r="B34" s="59" t="n">
        <v>1000</v>
      </c>
      <c r="C34" s="61" t="n">
        <v>31</v>
      </c>
      <c r="D34" s="60" t="s">
        <v>632</v>
      </c>
      <c r="E34" s="59" t="n">
        <v>21.5</v>
      </c>
      <c r="F34" s="3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62" t="s">
        <v>8</v>
      </c>
      <c r="B35" s="59" t="n">
        <v>1000</v>
      </c>
      <c r="C35" s="61" t="n">
        <v>32</v>
      </c>
      <c r="D35" s="60" t="s">
        <v>633</v>
      </c>
      <c r="E35" s="59" t="n">
        <v>19.8000000000000007</v>
      </c>
      <c r="F35" s="3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62" t="s">
        <v>8</v>
      </c>
      <c r="B36" s="59" t="n">
        <v>1000</v>
      </c>
      <c r="C36" s="61" t="n">
        <v>33</v>
      </c>
      <c r="D36" s="60" t="s">
        <v>634</v>
      </c>
      <c r="E36" s="59" t="n">
        <v>9.40000000000000036</v>
      </c>
      <c r="F36" s="3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62" t="s">
        <v>8</v>
      </c>
      <c r="B37" s="59" t="n">
        <v>1000</v>
      </c>
      <c r="C37" s="61" t="n">
        <v>34</v>
      </c>
      <c r="D37" s="60" t="s">
        <v>635</v>
      </c>
      <c r="E37" s="59" t="n">
        <v>9</v>
      </c>
      <c r="F37" s="3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62" t="s">
        <v>8</v>
      </c>
      <c r="B38" s="59" t="n">
        <v>1000</v>
      </c>
      <c r="C38" s="61" t="n">
        <v>35</v>
      </c>
      <c r="D38" s="60" t="s">
        <v>636</v>
      </c>
      <c r="E38" s="59" t="n">
        <v>18.5</v>
      </c>
      <c r="F38" s="3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62" t="s">
        <v>8</v>
      </c>
      <c r="B39" s="59" t="n">
        <v>1000</v>
      </c>
      <c r="C39" s="61" t="n">
        <v>36</v>
      </c>
      <c r="D39" s="60" t="s">
        <v>637</v>
      </c>
      <c r="E39" s="59" t="n">
        <v>14.6999999999999993</v>
      </c>
      <c r="F39" s="3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62" t="s">
        <v>8</v>
      </c>
      <c r="B40" s="59" t="n">
        <v>1000</v>
      </c>
      <c r="C40" s="61" t="n">
        <v>37</v>
      </c>
      <c r="D40" s="60" t="s">
        <v>638</v>
      </c>
      <c r="E40" s="59" t="n">
        <v>6.40000000000000036</v>
      </c>
      <c r="F40" s="3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62" t="s">
        <v>8</v>
      </c>
      <c r="B41" s="59" t="n">
        <v>1000</v>
      </c>
      <c r="C41" s="61" t="n">
        <v>38</v>
      </c>
      <c r="D41" s="60" t="s">
        <v>639</v>
      </c>
      <c r="E41" s="59" t="n">
        <v>7.90000000000000036</v>
      </c>
      <c r="F41" s="3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62" t="s">
        <v>8</v>
      </c>
      <c r="B42" s="59" t="n">
        <v>1000</v>
      </c>
      <c r="C42" s="61" t="n">
        <v>39</v>
      </c>
      <c r="D42" s="60" t="s">
        <v>640</v>
      </c>
      <c r="E42" s="59" t="n">
        <v>9.09999999999999964</v>
      </c>
      <c r="F42" s="3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62" t="s">
        <v>8</v>
      </c>
      <c r="B43" s="59" t="n">
        <v>1000</v>
      </c>
      <c r="C43" s="61" t="n">
        <v>40</v>
      </c>
      <c r="D43" s="60" t="s">
        <v>641</v>
      </c>
      <c r="E43" s="59" t="n">
        <v>20.3000000000000007</v>
      </c>
      <c r="F43" s="3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62" t="s">
        <v>8</v>
      </c>
      <c r="B44" s="59" t="n">
        <v>1000</v>
      </c>
      <c r="C44" s="61" t="n">
        <v>41</v>
      </c>
      <c r="D44" s="60" t="n">
        <v>896932</v>
      </c>
      <c r="E44" s="59" t="n">
        <v>7.90000000000000036</v>
      </c>
      <c r="F44" s="3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62" t="s">
        <v>8</v>
      </c>
      <c r="B45" s="59" t="n">
        <v>1000</v>
      </c>
      <c r="C45" s="61" t="n">
        <v>42</v>
      </c>
      <c r="D45" s="60" t="n">
        <v>826034</v>
      </c>
      <c r="E45" s="59" t="n">
        <v>18.8999999999999986</v>
      </c>
      <c r="F45" s="3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62" t="s">
        <v>8</v>
      </c>
      <c r="B46" s="59" t="n">
        <v>1000</v>
      </c>
      <c r="C46" s="61" t="n">
        <v>43</v>
      </c>
      <c r="D46" s="60" t="s">
        <v>642</v>
      </c>
      <c r="E46" s="59" t="n">
        <v>7.40000000000000036</v>
      </c>
      <c r="F46" s="3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62" t="s">
        <v>8</v>
      </c>
      <c r="B47" s="59" t="n">
        <v>1000</v>
      </c>
      <c r="C47" s="61" t="n">
        <v>44</v>
      </c>
      <c r="D47" s="60" t="s">
        <v>643</v>
      </c>
      <c r="E47" s="59" t="n">
        <v>6.59999999999999964</v>
      </c>
      <c r="F47" s="3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62" t="s">
        <v>8</v>
      </c>
      <c r="B48" s="59" t="n">
        <v>1000</v>
      </c>
      <c r="C48" s="61" t="n">
        <v>45</v>
      </c>
      <c r="D48" s="60" t="s">
        <v>644</v>
      </c>
      <c r="E48" s="59" t="n">
        <v>10.0999999999999996</v>
      </c>
      <c r="F48" s="3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62" t="s">
        <v>8</v>
      </c>
      <c r="B49" s="59" t="n">
        <v>1000</v>
      </c>
      <c r="C49" s="61" t="n">
        <v>46</v>
      </c>
      <c r="D49" s="60" t="n">
        <v>947241</v>
      </c>
      <c r="E49" s="59" t="n">
        <v>7.59999999999999876</v>
      </c>
      <c r="F49" s="3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62" t="s">
        <v>8</v>
      </c>
      <c r="B50" s="59" t="n">
        <v>1000</v>
      </c>
      <c r="C50" s="61" t="n">
        <v>47</v>
      </c>
      <c r="D50" s="60" t="s">
        <v>645</v>
      </c>
      <c r="E50" s="59" t="n">
        <v>9.09999999999999964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62" t="s">
        <v>8</v>
      </c>
      <c r="B51" s="59" t="n">
        <v>1000</v>
      </c>
      <c r="C51" s="61" t="n">
        <v>48</v>
      </c>
      <c r="D51" s="60" t="s">
        <v>646</v>
      </c>
      <c r="E51" s="59" t="n">
        <v>20.3000000000000007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62" t="s">
        <v>8</v>
      </c>
      <c r="B52" s="59" t="n">
        <v>1000</v>
      </c>
      <c r="C52" s="61" t="n">
        <v>49</v>
      </c>
      <c r="D52" s="60" t="s">
        <v>647</v>
      </c>
      <c r="E52" s="59" t="n">
        <v>10.5999999999999996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62" t="s">
        <v>8</v>
      </c>
      <c r="B53" s="59" t="n">
        <v>1000</v>
      </c>
      <c r="C53" s="61" t="n">
        <v>50</v>
      </c>
      <c r="D53" s="60" t="s">
        <v>648</v>
      </c>
      <c r="E53" s="59" t="n">
        <v>6.09999999999999964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62" t="s">
        <v>8</v>
      </c>
      <c r="B54" s="59" t="n">
        <v>1000</v>
      </c>
      <c r="C54" s="61" t="n">
        <v>51</v>
      </c>
      <c r="D54" s="60" t="s">
        <v>649</v>
      </c>
      <c r="E54" s="59" t="n">
        <v>16.6000000000000014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62" t="s">
        <v>8</v>
      </c>
      <c r="B55" s="59" t="n">
        <v>1000</v>
      </c>
      <c r="C55" s="61" t="n">
        <v>52</v>
      </c>
      <c r="D55" s="60" t="s">
        <v>650</v>
      </c>
      <c r="E55" s="59" t="n">
        <v>16.1999999999999993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62" t="s">
        <v>8</v>
      </c>
      <c r="B56" s="59" t="n">
        <v>1000</v>
      </c>
      <c r="C56" s="61" t="n">
        <v>53</v>
      </c>
      <c r="D56" s="60" t="s">
        <v>651</v>
      </c>
      <c r="E56" s="59" t="n">
        <v>15.4000000000000004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62" t="s">
        <v>8</v>
      </c>
      <c r="B57" s="59" t="n">
        <v>1000</v>
      </c>
      <c r="C57" s="61" t="n">
        <v>54</v>
      </c>
      <c r="D57" s="60" t="s">
        <v>652</v>
      </c>
      <c r="E57" s="59" t="n">
        <v>7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62" t="s">
        <v>8</v>
      </c>
      <c r="B58" s="59" t="n">
        <v>650</v>
      </c>
      <c r="C58" s="61" t="n">
        <v>1</v>
      </c>
      <c r="D58" s="60" t="s">
        <v>653</v>
      </c>
      <c r="E58" s="59" t="n">
        <v>18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62" t="s">
        <v>8</v>
      </c>
      <c r="B59" s="59" t="n">
        <v>650</v>
      </c>
      <c r="C59" s="61" t="n">
        <v>2</v>
      </c>
      <c r="D59" s="60" t="s">
        <v>654</v>
      </c>
      <c r="E59" s="59" t="n">
        <v>16.1999999999999993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62" t="s">
        <v>8</v>
      </c>
      <c r="B60" s="59" t="n">
        <v>650</v>
      </c>
      <c r="C60" s="61" t="n">
        <v>3</v>
      </c>
      <c r="D60" s="60" t="s">
        <v>655</v>
      </c>
      <c r="E60" s="59" t="n">
        <v>21.3000000000000007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62" t="s">
        <v>8</v>
      </c>
      <c r="B61" s="59" t="n">
        <v>650</v>
      </c>
      <c r="C61" s="61" t="n">
        <v>4</v>
      </c>
      <c r="D61" s="60" t="s">
        <v>656</v>
      </c>
      <c r="E61" s="59" t="n">
        <v>21.1000000000000014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62" t="s">
        <v>8</v>
      </c>
      <c r="B62" s="59" t="n">
        <v>650</v>
      </c>
      <c r="C62" s="61" t="n">
        <v>5</v>
      </c>
      <c r="D62" s="60" t="s">
        <v>657</v>
      </c>
      <c r="E62" s="59" t="n">
        <v>19.1000000000000014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62" t="s">
        <v>8</v>
      </c>
      <c r="B63" s="59" t="n">
        <v>650</v>
      </c>
      <c r="C63" s="61" t="n">
        <v>6</v>
      </c>
      <c r="D63" s="60" t="s">
        <v>658</v>
      </c>
      <c r="E63" s="59" t="n">
        <v>12.5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62" t="s">
        <v>8</v>
      </c>
      <c r="B64" s="59" t="n">
        <v>650</v>
      </c>
      <c r="C64" s="61" t="n">
        <v>7</v>
      </c>
      <c r="D64" s="60" t="s">
        <v>659</v>
      </c>
      <c r="E64" s="59" t="n">
        <v>21.3999999999999986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62" t="s">
        <v>8</v>
      </c>
      <c r="B65" s="59" t="n">
        <v>650</v>
      </c>
      <c r="C65" s="61" t="n">
        <v>8</v>
      </c>
      <c r="D65" s="60" t="s">
        <v>660</v>
      </c>
      <c r="E65" s="59" t="n">
        <v>18.1999999999999993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62" t="s">
        <v>8</v>
      </c>
      <c r="B66" s="59" t="n">
        <v>650</v>
      </c>
      <c r="C66" s="61" t="n">
        <v>9</v>
      </c>
      <c r="D66" s="60" t="s">
        <v>661</v>
      </c>
      <c r="E66" s="59" t="n">
        <v>20.6000000000000014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62" t="s">
        <v>8</v>
      </c>
      <c r="B67" s="59" t="n">
        <v>650</v>
      </c>
      <c r="C67" s="61" t="n">
        <v>10</v>
      </c>
      <c r="D67" s="60" t="s">
        <v>662</v>
      </c>
      <c r="E67" s="59" t="n">
        <v>19.3000000000000007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62" t="s">
        <v>8</v>
      </c>
      <c r="B68" s="59" t="n">
        <v>650</v>
      </c>
      <c r="C68" s="61" t="n">
        <v>11</v>
      </c>
      <c r="D68" s="60" t="s">
        <v>663</v>
      </c>
      <c r="E68" s="59" t="n">
        <v>18.8000000000000007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62" t="s">
        <v>8</v>
      </c>
      <c r="B69" s="59" t="n">
        <v>650</v>
      </c>
      <c r="C69" s="61" t="n">
        <v>12</v>
      </c>
      <c r="D69" s="60" t="s">
        <v>664</v>
      </c>
      <c r="E69" s="59" t="n">
        <v>12.1999999999999993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62" t="s">
        <v>8</v>
      </c>
      <c r="B70" s="59" t="n">
        <v>650</v>
      </c>
      <c r="C70" s="61" t="n">
        <v>13</v>
      </c>
      <c r="D70" s="60" t="s">
        <v>665</v>
      </c>
      <c r="E70" s="59" t="n">
        <v>14.4000000000000004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62" t="s">
        <v>8</v>
      </c>
      <c r="B71" s="59" t="n">
        <v>650</v>
      </c>
      <c r="C71" s="61" t="n">
        <v>14</v>
      </c>
      <c r="D71" s="60" t="s">
        <v>666</v>
      </c>
      <c r="E71" s="59" t="n">
        <v>18.1000000000000014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62" t="s">
        <v>8</v>
      </c>
      <c r="B72" s="59" t="n">
        <v>650</v>
      </c>
      <c r="C72" s="61" t="n">
        <v>15</v>
      </c>
      <c r="D72" s="60" t="s">
        <v>667</v>
      </c>
      <c r="E72" s="59" t="n">
        <v>17.1999999999999993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62" t="s">
        <v>8</v>
      </c>
      <c r="B73" s="59" t="n">
        <v>650</v>
      </c>
      <c r="C73" s="61" t="n">
        <v>16</v>
      </c>
      <c r="D73" s="60" t="s">
        <v>668</v>
      </c>
      <c r="E73" s="59" t="n">
        <v>14.1999999999999993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62" t="s">
        <v>8</v>
      </c>
      <c r="B74" s="59" t="n">
        <v>650</v>
      </c>
      <c r="C74" s="61" t="n">
        <v>17</v>
      </c>
      <c r="D74" s="60" t="s">
        <v>669</v>
      </c>
      <c r="E74" s="59" t="n">
        <v>18.1000000000000014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62" t="s">
        <v>8</v>
      </c>
      <c r="B75" s="59" t="n">
        <v>650</v>
      </c>
      <c r="C75" s="61" t="n">
        <v>18</v>
      </c>
      <c r="D75" s="60" t="s">
        <v>670</v>
      </c>
      <c r="E75" s="59" t="n">
        <v>18.5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62" t="s">
        <v>8</v>
      </c>
      <c r="B76" s="59" t="n">
        <v>650</v>
      </c>
      <c r="C76" s="61" t="n">
        <v>19</v>
      </c>
      <c r="D76" s="60" t="s">
        <v>671</v>
      </c>
      <c r="E76" s="59" t="n">
        <v>19.3000000000000007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62" t="s">
        <v>8</v>
      </c>
      <c r="B77" s="59" t="n">
        <v>250</v>
      </c>
      <c r="C77" s="61" t="n">
        <v>1</v>
      </c>
      <c r="D77" s="60" t="s">
        <v>672</v>
      </c>
      <c r="E77" s="59" t="n">
        <v>27.1999999999999993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62" t="s">
        <v>8</v>
      </c>
      <c r="B78" s="59" t="n">
        <v>250</v>
      </c>
      <c r="C78" s="61" t="n">
        <v>2</v>
      </c>
      <c r="D78" s="60" t="s">
        <v>673</v>
      </c>
      <c r="E78" s="59" t="n">
        <v>18.6000000000000014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62" t="s">
        <v>8</v>
      </c>
      <c r="B79" s="59" t="n">
        <v>250</v>
      </c>
      <c r="C79" s="61" t="n">
        <v>3</v>
      </c>
      <c r="D79" s="60" t="s">
        <v>674</v>
      </c>
      <c r="E79" s="59" t="n">
        <v>25.8000000000000007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62" t="s">
        <v>8</v>
      </c>
      <c r="B80" s="59" t="n">
        <v>250</v>
      </c>
      <c r="C80" s="61" t="n">
        <v>4</v>
      </c>
      <c r="D80" s="60" t="s">
        <v>675</v>
      </c>
      <c r="E80" s="59" t="n">
        <v>29.3999999999999986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62" t="s">
        <v>8</v>
      </c>
      <c r="B81" s="59" t="n">
        <v>250</v>
      </c>
      <c r="C81" s="61" t="n">
        <v>5</v>
      </c>
      <c r="D81" s="60" t="s">
        <v>676</v>
      </c>
      <c r="E81" s="59" t="n">
        <v>24.1999999999999993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62" t="s">
        <v>8</v>
      </c>
      <c r="B82" s="59" t="n">
        <v>250</v>
      </c>
      <c r="C82" s="61" t="n">
        <v>6</v>
      </c>
      <c r="D82" s="60" t="s">
        <v>677</v>
      </c>
      <c r="E82" s="59" t="n">
        <v>11.4000000000000004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62" t="s">
        <v>8</v>
      </c>
      <c r="B83" s="59" t="n">
        <v>250</v>
      </c>
      <c r="C83" s="61" t="n">
        <v>7</v>
      </c>
      <c r="D83" s="60" t="s">
        <v>678</v>
      </c>
      <c r="E83" s="59" t="n">
        <v>20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62" t="s">
        <v>8</v>
      </c>
      <c r="B84" s="59" t="n">
        <v>250</v>
      </c>
      <c r="C84" s="61" t="n">
        <v>8</v>
      </c>
      <c r="D84" s="60" t="s">
        <v>679</v>
      </c>
      <c r="E84" s="59" t="n">
        <v>25.3999999999999986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62" t="s">
        <v>8</v>
      </c>
      <c r="B85" s="59" t="n">
        <v>250</v>
      </c>
      <c r="C85" s="61" t="n">
        <v>9</v>
      </c>
      <c r="D85" s="60" t="s">
        <v>680</v>
      </c>
      <c r="E85" s="59" t="n">
        <v>16.1000000000000014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62" t="s">
        <v>8</v>
      </c>
      <c r="B86" s="59" t="n">
        <v>250</v>
      </c>
      <c r="C86" s="61" t="n">
        <v>10</v>
      </c>
      <c r="D86" s="60" t="s">
        <v>681</v>
      </c>
      <c r="E86" s="59" t="n">
        <v>14.6999999999999993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62" t="s">
        <v>8</v>
      </c>
      <c r="B87" s="59" t="n">
        <v>250</v>
      </c>
      <c r="C87" s="61" t="n">
        <v>11</v>
      </c>
      <c r="D87" s="60" t="s">
        <v>682</v>
      </c>
      <c r="E87" s="59" t="n">
        <v>19.6999999999999993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62" t="s">
        <v>8</v>
      </c>
      <c r="B88" s="59" t="n">
        <v>250</v>
      </c>
      <c r="C88" s="61" t="n">
        <v>12</v>
      </c>
      <c r="D88" s="60" t="s">
        <v>683</v>
      </c>
      <c r="E88" s="59" t="n">
        <v>8.59999999999999787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62" t="s">
        <v>8</v>
      </c>
      <c r="B89" s="59" t="n">
        <v>250</v>
      </c>
      <c r="C89" s="61" t="n">
        <v>13</v>
      </c>
      <c r="D89" s="60" t="s">
        <v>684</v>
      </c>
      <c r="E89" s="59" t="n">
        <v>11.1999999999999993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62" t="s">
        <v>8</v>
      </c>
      <c r="B90" s="59" t="n">
        <v>250</v>
      </c>
      <c r="C90" s="61" t="n">
        <v>14</v>
      </c>
      <c r="D90" s="60" t="s">
        <v>685</v>
      </c>
      <c r="E90" s="59" t="n">
        <v>17.399999999999995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62" t="s">
        <v>8</v>
      </c>
      <c r="B91" s="59" t="n">
        <v>250</v>
      </c>
      <c r="C91" s="61" t="n">
        <v>15</v>
      </c>
      <c r="D91" s="60" t="s">
        <v>686</v>
      </c>
      <c r="E91" s="59" t="n">
        <v>19.1999999999999993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62" t="s">
        <v>8</v>
      </c>
      <c r="B92" s="59" t="n">
        <v>250</v>
      </c>
      <c r="C92" s="61" t="n">
        <v>16</v>
      </c>
      <c r="D92" s="60" t="s">
        <v>687</v>
      </c>
      <c r="E92" s="59" t="n">
        <v>26.5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62" t="s">
        <v>8</v>
      </c>
      <c r="B93" s="59" t="n">
        <v>100</v>
      </c>
      <c r="C93" s="61" t="n">
        <v>1</v>
      </c>
      <c r="D93" s="60" t="s">
        <v>688</v>
      </c>
      <c r="E93" s="59" t="n">
        <v>18.1000000000000014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62" t="s">
        <v>8</v>
      </c>
      <c r="B94" s="59" t="n">
        <v>100</v>
      </c>
      <c r="C94" s="61" t="n">
        <v>2</v>
      </c>
      <c r="D94" s="60" t="s">
        <v>689</v>
      </c>
      <c r="E94" s="59" t="n">
        <v>21.3000000000000007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62" t="s">
        <v>8</v>
      </c>
      <c r="B95" s="59" t="n">
        <v>100</v>
      </c>
      <c r="C95" s="61" t="n">
        <v>3</v>
      </c>
      <c r="D95" s="60" t="s">
        <v>690</v>
      </c>
      <c r="E95" s="59" t="n">
        <v>19.3000000000000007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62" t="s">
        <v>8</v>
      </c>
      <c r="B96" s="59" t="n">
        <v>100</v>
      </c>
      <c r="C96" s="61" t="n">
        <v>4</v>
      </c>
      <c r="D96" s="60" t="s">
        <v>691</v>
      </c>
      <c r="E96" s="59" t="n">
        <v>24.6999999999999993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62" t="s">
        <v>8</v>
      </c>
      <c r="B97" s="59" t="n">
        <v>100</v>
      </c>
      <c r="C97" s="61" t="n">
        <v>5</v>
      </c>
      <c r="D97" s="60" t="s">
        <v>692</v>
      </c>
      <c r="E97" s="59" t="n">
        <v>22.3999999999999986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62" t="s">
        <v>8</v>
      </c>
      <c r="B98" s="59" t="n">
        <v>100</v>
      </c>
      <c r="C98" s="61" t="n">
        <v>6</v>
      </c>
      <c r="D98" s="60" t="s">
        <v>693</v>
      </c>
      <c r="E98" s="59" t="n">
        <v>18.3999999999999986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62" t="s">
        <v>8</v>
      </c>
      <c r="B99" s="59" t="n">
        <v>100</v>
      </c>
      <c r="C99" s="61" t="n">
        <v>7</v>
      </c>
      <c r="D99" s="60" t="s">
        <v>694</v>
      </c>
      <c r="E99" s="59" t="n">
        <v>19.5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62" t="s">
        <v>8</v>
      </c>
      <c r="B100" s="59" t="n">
        <v>100</v>
      </c>
      <c r="C100" s="61" t="n">
        <v>8</v>
      </c>
      <c r="D100" s="60" t="s">
        <v>695</v>
      </c>
      <c r="E100" s="59" t="n">
        <v>23.5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62" t="s">
        <v>8</v>
      </c>
      <c r="B101" s="59" t="n">
        <v>100</v>
      </c>
      <c r="C101" s="61" t="n">
        <v>9</v>
      </c>
      <c r="D101" s="60" t="s">
        <v>696</v>
      </c>
      <c r="E101" s="59" t="n">
        <v>25.1000000000000014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62" t="s">
        <v>8</v>
      </c>
      <c r="B102" s="59" t="n">
        <v>100</v>
      </c>
      <c r="C102" s="61" t="n">
        <v>10</v>
      </c>
      <c r="D102" s="60" t="s">
        <v>697</v>
      </c>
      <c r="E102" s="59" t="n">
        <v>28.6000000000000014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62" t="s">
        <v>8</v>
      </c>
      <c r="B103" s="59" t="n">
        <v>100</v>
      </c>
      <c r="C103" s="61" t="n">
        <v>11</v>
      </c>
      <c r="D103" s="60" t="s">
        <v>698</v>
      </c>
      <c r="E103" s="59" t="n">
        <v>28.6999999999999993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62" t="s">
        <v>8</v>
      </c>
      <c r="B104" s="59" t="n">
        <v>100</v>
      </c>
      <c r="C104" s="61" t="n">
        <v>12</v>
      </c>
      <c r="D104" s="60" t="s">
        <v>699</v>
      </c>
      <c r="E104" s="59" t="n">
        <v>23.6000000000000014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62" t="s">
        <v>8</v>
      </c>
      <c r="B105" s="59" t="n">
        <v>100</v>
      </c>
      <c r="C105" s="61" t="n">
        <v>13</v>
      </c>
      <c r="D105" s="60" t="s">
        <v>700</v>
      </c>
      <c r="E105" s="59" t="n">
        <v>21.8000000000000007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62" t="s">
        <v>8</v>
      </c>
      <c r="B106" s="59" t="n">
        <v>100</v>
      </c>
      <c r="C106" s="61" t="n">
        <v>14</v>
      </c>
      <c r="D106" s="60" t="s">
        <v>701</v>
      </c>
      <c r="E106" s="59" t="n">
        <v>25.1999999999999993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62" t="s">
        <v>8</v>
      </c>
      <c r="B107" s="59" t="n">
        <v>100</v>
      </c>
      <c r="C107" s="61" t="n">
        <v>15</v>
      </c>
      <c r="D107" s="60" t="s">
        <v>702</v>
      </c>
      <c r="E107" s="59" t="n">
        <v>22.1000000000000014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62" t="s">
        <v>8</v>
      </c>
      <c r="B108" s="59" t="n">
        <v>100</v>
      </c>
      <c r="C108" s="61" t="n">
        <v>16</v>
      </c>
      <c r="D108" s="60" t="s">
        <v>703</v>
      </c>
      <c r="E108" s="59" t="n">
        <v>24.1999999999999993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62" t="s">
        <v>8</v>
      </c>
      <c r="B109" s="59" t="n">
        <v>100</v>
      </c>
      <c r="C109" s="61" t="n">
        <v>17</v>
      </c>
      <c r="D109" s="60" t="s">
        <v>704</v>
      </c>
      <c r="E109" s="59" t="n">
        <v>22.3999999999999986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62" t="s">
        <v>8</v>
      </c>
      <c r="B110" s="59" t="n">
        <v>100</v>
      </c>
      <c r="C110" s="61" t="n">
        <v>18</v>
      </c>
      <c r="D110" s="60" t="s">
        <v>705</v>
      </c>
      <c r="E110" s="59" t="n">
        <v>26.5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62" t="s">
        <v>8</v>
      </c>
      <c r="B111" s="59" t="n">
        <v>100</v>
      </c>
      <c r="C111" s="61" t="n">
        <v>19</v>
      </c>
      <c r="D111" s="60" t="s">
        <v>706</v>
      </c>
      <c r="E111" s="59" t="n">
        <v>25.1000000000000014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62" t="s">
        <v>8</v>
      </c>
      <c r="B112" s="59" t="n">
        <v>100</v>
      </c>
      <c r="C112" s="61" t="n">
        <v>20</v>
      </c>
      <c r="D112" s="60" t="s">
        <v>707</v>
      </c>
      <c r="E112" s="59" t="n">
        <v>24.1000000000000014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62" t="s">
        <v>8</v>
      </c>
      <c r="B113" s="59" t="n">
        <v>100</v>
      </c>
      <c r="C113" s="61" t="n">
        <v>21</v>
      </c>
      <c r="D113" s="60" t="s">
        <v>708</v>
      </c>
      <c r="E113" s="59" t="n">
        <v>20.6999999999999993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62" t="s">
        <v>8</v>
      </c>
      <c r="B114" s="59" t="n">
        <v>100</v>
      </c>
      <c r="C114" s="61" t="n">
        <v>22</v>
      </c>
      <c r="D114" s="60" t="s">
        <v>709</v>
      </c>
      <c r="E114" s="59" t="n">
        <v>19.6000000000000014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62" t="s">
        <v>8</v>
      </c>
      <c r="B115" s="59" t="n">
        <v>100</v>
      </c>
      <c r="C115" s="61" t="n">
        <v>23</v>
      </c>
      <c r="D115" s="60" t="s">
        <v>710</v>
      </c>
      <c r="E115" s="59" t="n">
        <v>24.6999999999999993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62" t="s">
        <v>8</v>
      </c>
      <c r="B116" s="59" t="n">
        <v>100</v>
      </c>
      <c r="C116" s="61" t="n">
        <v>24</v>
      </c>
      <c r="D116" s="60" t="s">
        <v>711</v>
      </c>
      <c r="E116" s="59" t="n">
        <v>12.1999999999999993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62" t="s">
        <v>8</v>
      </c>
      <c r="B117" s="59" t="n">
        <v>25</v>
      </c>
      <c r="C117" s="61" t="n">
        <v>1</v>
      </c>
      <c r="D117" s="60" t="s">
        <v>712</v>
      </c>
      <c r="E117" s="59" t="n">
        <v>21.1000000000000014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62" t="s">
        <v>8</v>
      </c>
      <c r="B118" s="59" t="n">
        <v>25</v>
      </c>
      <c r="C118" s="61" t="n">
        <v>2</v>
      </c>
      <c r="D118" s="60" t="s">
        <v>713</v>
      </c>
      <c r="E118" s="59" t="n">
        <v>20.3000000000000007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62" t="s">
        <v>8</v>
      </c>
      <c r="B119" s="59" t="n">
        <v>25</v>
      </c>
      <c r="C119" s="61" t="n">
        <v>3</v>
      </c>
      <c r="D119" s="60" t="s">
        <v>714</v>
      </c>
      <c r="E119" s="59" t="n">
        <v>21.3000000000000007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62" t="s">
        <v>8</v>
      </c>
      <c r="B120" s="59" t="n">
        <v>25</v>
      </c>
      <c r="C120" s="61" t="n">
        <v>4</v>
      </c>
      <c r="D120" s="60" t="s">
        <v>715</v>
      </c>
      <c r="E120" s="59" t="n">
        <v>25.1999999999999993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62" t="s">
        <v>8</v>
      </c>
      <c r="B121" s="59" t="n">
        <v>25</v>
      </c>
      <c r="C121" s="61" t="n">
        <v>5</v>
      </c>
      <c r="D121" s="60" t="s">
        <v>716</v>
      </c>
      <c r="E121" s="59" t="n">
        <v>18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62" t="s">
        <v>8</v>
      </c>
      <c r="B122" s="59" t="n">
        <v>25</v>
      </c>
      <c r="C122" s="61" t="n">
        <v>6</v>
      </c>
      <c r="D122" s="60" t="s">
        <v>717</v>
      </c>
      <c r="E122" s="59" t="n">
        <v>22.8000000000000007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62" t="s">
        <v>8</v>
      </c>
      <c r="B123" s="59" t="n">
        <v>25</v>
      </c>
      <c r="C123" s="61" t="n">
        <v>7</v>
      </c>
      <c r="D123" s="60" t="s">
        <v>718</v>
      </c>
      <c r="E123" s="59" t="n">
        <v>23.1000000000000014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62" t="s">
        <v>8</v>
      </c>
      <c r="B124" s="59" t="n">
        <v>25</v>
      </c>
      <c r="C124" s="61" t="n">
        <v>8</v>
      </c>
      <c r="D124" s="60" t="s">
        <v>719</v>
      </c>
      <c r="E124" s="59" t="n">
        <v>15.5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62" t="s">
        <v>8</v>
      </c>
      <c r="B125" s="59" t="n">
        <v>25</v>
      </c>
      <c r="C125" s="61" t="n">
        <v>9</v>
      </c>
      <c r="D125" s="60" t="s">
        <v>720</v>
      </c>
      <c r="E125" s="59" t="n">
        <v>23.8999999999999986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62" t="s">
        <v>8</v>
      </c>
      <c r="B126" s="59" t="n">
        <v>25</v>
      </c>
      <c r="C126" s="61" t="n">
        <v>10</v>
      </c>
      <c r="D126" s="60" t="s">
        <v>721</v>
      </c>
      <c r="E126" s="59" t="n">
        <v>22.8000000000000007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62" t="s">
        <v>8</v>
      </c>
      <c r="B127" s="59" t="n">
        <v>25</v>
      </c>
      <c r="C127" s="61" t="n">
        <v>11</v>
      </c>
      <c r="D127" s="60" t="s">
        <v>722</v>
      </c>
      <c r="E127" s="59" t="n">
        <v>23.1999999999999993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62" t="s">
        <v>8</v>
      </c>
      <c r="B128" s="59" t="n">
        <v>25</v>
      </c>
      <c r="C128" s="61" t="n">
        <v>12</v>
      </c>
      <c r="D128" s="60" t="s">
        <v>723</v>
      </c>
      <c r="E128" s="59" t="n">
        <v>18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62" t="s">
        <v>8</v>
      </c>
      <c r="B129" s="59" t="n">
        <v>25</v>
      </c>
      <c r="C129" s="61" t="n">
        <v>13</v>
      </c>
      <c r="D129" s="60" t="s">
        <v>724</v>
      </c>
      <c r="E129" s="59" t="n">
        <v>22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62" t="s">
        <v>8</v>
      </c>
      <c r="B130" s="59" t="n">
        <v>25</v>
      </c>
      <c r="C130" s="61" t="n">
        <v>14</v>
      </c>
      <c r="D130" s="60" t="s">
        <v>725</v>
      </c>
      <c r="E130" s="59" t="n">
        <v>23.6999999999999993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62" t="s">
        <v>8</v>
      </c>
      <c r="B131" s="59" t="n">
        <v>25</v>
      </c>
      <c r="C131" s="61" t="n">
        <v>15</v>
      </c>
      <c r="D131" s="60" t="s">
        <v>726</v>
      </c>
      <c r="E131" s="59" t="n">
        <v>23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62" t="s">
        <v>8</v>
      </c>
      <c r="B132" s="59" t="n">
        <v>25</v>
      </c>
      <c r="C132" s="61" t="n">
        <v>16</v>
      </c>
      <c r="D132" s="60" t="s">
        <v>727</v>
      </c>
      <c r="E132" s="59" t="n">
        <v>23.8000000000000007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62" t="s">
        <v>8</v>
      </c>
      <c r="B133" s="59" t="n">
        <v>25</v>
      </c>
      <c r="C133" s="61" t="n">
        <v>17</v>
      </c>
      <c r="D133" s="60" t="s">
        <v>728</v>
      </c>
      <c r="E133" s="59" t="n">
        <v>21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62" t="s">
        <v>8</v>
      </c>
      <c r="B134" s="59" t="n">
        <v>25</v>
      </c>
      <c r="C134" s="61" t="n">
        <v>18</v>
      </c>
      <c r="D134" s="60" t="s">
        <v>729</v>
      </c>
      <c r="E134" s="59" t="n">
        <v>23.1000000000000014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62" t="s">
        <v>8</v>
      </c>
      <c r="B135" s="59" t="n">
        <v>25</v>
      </c>
      <c r="C135" s="61" t="n">
        <v>19</v>
      </c>
      <c r="D135" s="60" t="s">
        <v>730</v>
      </c>
      <c r="E135" s="59" t="n">
        <v>26.3999999999999986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62" t="s">
        <v>8</v>
      </c>
      <c r="B136" s="59" t="n">
        <v>25</v>
      </c>
      <c r="C136" s="61" t="n">
        <v>20</v>
      </c>
      <c r="D136" s="60" t="s">
        <v>731</v>
      </c>
      <c r="E136" s="59" t="n">
        <v>23.8999999999999986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62" t="s">
        <v>8</v>
      </c>
      <c r="B137" s="59" t="n">
        <v>25</v>
      </c>
      <c r="C137" s="61" t="n">
        <v>21</v>
      </c>
      <c r="D137" s="60" t="s">
        <v>732</v>
      </c>
      <c r="E137" s="59" t="n">
        <v>23.8000000000000007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62" t="s">
        <v>8</v>
      </c>
      <c r="B138" s="59" t="n">
        <v>25</v>
      </c>
      <c r="C138" s="61" t="n">
        <v>22</v>
      </c>
      <c r="D138" s="60" t="s">
        <v>733</v>
      </c>
      <c r="E138" s="59" t="n">
        <v>26.3000000000000007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62" t="s">
        <v>8</v>
      </c>
      <c r="B139" s="59" t="n">
        <v>25</v>
      </c>
      <c r="C139" s="61" t="n">
        <v>23</v>
      </c>
      <c r="D139" s="60" t="s">
        <v>734</v>
      </c>
      <c r="E139" s="59" t="n">
        <v>20.1000000000000014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62" t="s">
        <v>8</v>
      </c>
      <c r="B140" s="59" t="n">
        <v>25</v>
      </c>
      <c r="C140" s="61" t="n">
        <v>24</v>
      </c>
      <c r="D140" s="60" t="s">
        <v>735</v>
      </c>
      <c r="E140" s="59" t="n">
        <v>28.8999999999999986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62" t="s">
        <v>8</v>
      </c>
      <c r="B141" s="59" t="n">
        <v>25</v>
      </c>
      <c r="C141" s="61" t="n">
        <v>25</v>
      </c>
      <c r="D141" s="60" t="s">
        <v>736</v>
      </c>
      <c r="E141" s="59" t="n">
        <v>16.5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62" t="s">
        <v>8</v>
      </c>
      <c r="B142" s="59" t="n">
        <v>25</v>
      </c>
      <c r="C142" s="61" t="n">
        <v>26</v>
      </c>
      <c r="D142" s="60" t="s">
        <v>737</v>
      </c>
      <c r="E142" s="59" t="n">
        <v>21.8000000000000007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62" t="s">
        <v>8</v>
      </c>
      <c r="B143" s="59" t="n">
        <v>25</v>
      </c>
      <c r="C143" s="61" t="n">
        <v>27</v>
      </c>
      <c r="D143" s="60" t="s">
        <v>738</v>
      </c>
      <c r="E143" s="59" t="n">
        <v>17.1000000000000014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62" t="s">
        <v>8</v>
      </c>
      <c r="B144" s="59" t="n">
        <v>25</v>
      </c>
      <c r="C144" s="61" t="n">
        <v>28</v>
      </c>
      <c r="D144" s="60" t="s">
        <v>739</v>
      </c>
      <c r="E144" s="59" t="n">
        <v>16.5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62" t="s">
        <v>8</v>
      </c>
      <c r="B145" s="59" t="n">
        <v>25</v>
      </c>
      <c r="C145" s="61" t="n">
        <v>29</v>
      </c>
      <c r="D145" s="60" t="s">
        <v>740</v>
      </c>
      <c r="E145" s="59" t="n">
        <v>19.8000000000000007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printOptions>
    <extLst>
      <ext uri="smNativeData">
        <pm:pageFlags xmlns:pm="smNativeData" id="1752044485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2044485" l="56" r="56" t="56" b="56" borderId="0" fillId="0" vertical="0"/>
        <pm:footer xmlns:pm="smNativeData" id="1752044485" l="56" r="56" t="56" b="56" borderId="0" fillId="0" vertical="2"/>
      </ext>
    </extLst>
  </headerFooter>
  <extLst>
    <ext uri="smNativeData">
      <pm:sheetPrefs xmlns:pm="smNativeData" day="175204448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drozdovapb</cp:lastModifiedBy>
  <cp:revision>0</cp:revision>
  <dcterms:created xsi:type="dcterms:W3CDTF">2025-05-08T03:38:51Z</dcterms:created>
  <dcterms:modified xsi:type="dcterms:W3CDTF">2025-07-09T07:01:25Z</dcterms:modified>
</cp:coreProperties>
</file>